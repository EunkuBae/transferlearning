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/>
  <mc:AlternateContent xmlns:mc="http://schemas.openxmlformats.org/markup-compatibility/2006">
    <mc:Choice Requires="x15">
      <x15ac:absPath xmlns:x15ac="http://schemas.microsoft.com/office/spreadsheetml/2010/11/ac" url="D:\younghyun\OASIS\NII\"/>
    </mc:Choice>
  </mc:AlternateContent>
  <xr:revisionPtr revIDLastSave="0" documentId="13_ncr:1_{1BD9E8B9-8D40-46B8-B24D-3D9EF358ED97}" xr6:coauthVersionLast="36" xr6:coauthVersionMax="36" xr10:uidLastSave="{00000000-0000-0000-0000-000000000000}"/>
  <bookViews>
    <workbookView xWindow="0" yWindow="0" windowWidth="25935" windowHeight="9810" xr2:uid="{00000000-000D-0000-FFFF-FFFF00000000}"/>
  </bookViews>
  <sheets>
    <sheet name="Sheet1" sheetId="1" r:id="rId1"/>
  </sheets>
  <externalReferences>
    <externalReference r:id="rId2"/>
    <externalReference r:id="rId3"/>
  </externalReferences>
  <calcPr calcId="191029"/>
</workbook>
</file>

<file path=xl/calcChain.xml><?xml version="1.0" encoding="utf-8"?>
<calcChain xmlns="http://schemas.openxmlformats.org/spreadsheetml/2006/main">
  <c r="F238" i="1" l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237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" i="1"/>
</calcChain>
</file>

<file path=xl/sharedStrings.xml><?xml version="1.0" encoding="utf-8"?>
<sst xmlns="http://schemas.openxmlformats.org/spreadsheetml/2006/main" count="927" uniqueCount="621">
  <si>
    <t>Original_Name</t>
  </si>
  <si>
    <t>OAS0001.nii</t>
  </si>
  <si>
    <t>OAS0002.nii</t>
  </si>
  <si>
    <t>OAS0003.nii</t>
  </si>
  <si>
    <t>OAS0004.nii</t>
  </si>
  <si>
    <t>OAS0005.nii</t>
  </si>
  <si>
    <t>OAS0006.nii</t>
  </si>
  <si>
    <t>OAS0007.nii</t>
  </si>
  <si>
    <t>OAS0008.nii</t>
  </si>
  <si>
    <t>OAS0009.nii</t>
  </si>
  <si>
    <t>OAS0010.nii</t>
  </si>
  <si>
    <t>OAS0011.nii</t>
  </si>
  <si>
    <t>OAS0012.nii</t>
  </si>
  <si>
    <t>OAS0013.nii</t>
  </si>
  <si>
    <t>OAS0014.nii</t>
  </si>
  <si>
    <t>OAS0015.nii</t>
  </si>
  <si>
    <t>OAS0016.nii</t>
  </si>
  <si>
    <t>OAS0017.nii</t>
  </si>
  <si>
    <t>OAS0018.nii</t>
  </si>
  <si>
    <t>OAS0019.nii</t>
  </si>
  <si>
    <t>OAS0020.nii</t>
  </si>
  <si>
    <t>OAS0021.nii</t>
  </si>
  <si>
    <t>OAS0022.nii</t>
  </si>
  <si>
    <t>OAS0023.nii</t>
  </si>
  <si>
    <t>OAS0024.nii</t>
  </si>
  <si>
    <t>OAS0025.nii</t>
  </si>
  <si>
    <t>OAS0026.nii</t>
  </si>
  <si>
    <t>OAS0027.nii</t>
  </si>
  <si>
    <t>OAS0028.nii</t>
  </si>
  <si>
    <t>OAS0029.nii</t>
  </si>
  <si>
    <t>OAS0030.nii</t>
  </si>
  <si>
    <t>OAS0031.nii</t>
  </si>
  <si>
    <t>OAS0032.nii</t>
  </si>
  <si>
    <t>OAS0033.nii</t>
  </si>
  <si>
    <t>OAS0034.nii</t>
  </si>
  <si>
    <t>OAS0035.nii</t>
  </si>
  <si>
    <t>OAS0036.nii</t>
  </si>
  <si>
    <t>OAS0037.nii</t>
  </si>
  <si>
    <t>OAS0038.nii</t>
  </si>
  <si>
    <t>OAS0039.nii</t>
  </si>
  <si>
    <t>OAS0040.nii</t>
  </si>
  <si>
    <t>OAS0041.nii</t>
  </si>
  <si>
    <t>OAS0042.nii</t>
  </si>
  <si>
    <t>OAS0043.nii</t>
  </si>
  <si>
    <t>OAS0044.nii</t>
  </si>
  <si>
    <t>OAS0045.nii</t>
  </si>
  <si>
    <t>OAS0046.nii</t>
  </si>
  <si>
    <t>OAS0047.nii</t>
  </si>
  <si>
    <t>OAS0048.nii</t>
  </si>
  <si>
    <t>OAS0049.nii</t>
  </si>
  <si>
    <t>OAS0050.nii</t>
  </si>
  <si>
    <t>OAS0051.nii</t>
  </si>
  <si>
    <t>OAS0052.nii</t>
  </si>
  <si>
    <t>OAS0053.nii</t>
  </si>
  <si>
    <t>OAS0054.nii</t>
  </si>
  <si>
    <t>OAS0055.nii</t>
  </si>
  <si>
    <t>OAS0056.nii</t>
  </si>
  <si>
    <t>OAS0057.nii</t>
  </si>
  <si>
    <t>OAS0058.nii</t>
  </si>
  <si>
    <t>OAS0059.nii</t>
  </si>
  <si>
    <t>OAS0060.nii</t>
  </si>
  <si>
    <t>OAS0061.nii</t>
  </si>
  <si>
    <t>OAS0062.nii</t>
  </si>
  <si>
    <t>OAS0063.nii</t>
  </si>
  <si>
    <t>OAS0064.nii</t>
  </si>
  <si>
    <t>OAS0065.nii</t>
  </si>
  <si>
    <t>OAS0066.nii</t>
  </si>
  <si>
    <t>OAS0067.nii</t>
  </si>
  <si>
    <t>OAS0068.nii</t>
  </si>
  <si>
    <t>OAS0069.nii</t>
  </si>
  <si>
    <t>OAS0070.nii</t>
  </si>
  <si>
    <t>OAS0071.nii</t>
  </si>
  <si>
    <t>OAS0072.nii</t>
  </si>
  <si>
    <t>OAS0073.nii</t>
  </si>
  <si>
    <t>OAS0074.nii</t>
  </si>
  <si>
    <t>OAS0075.nii</t>
  </si>
  <si>
    <t>OAS0076.nii</t>
  </si>
  <si>
    <t>OAS0077.nii</t>
  </si>
  <si>
    <t>OAS0078.nii</t>
  </si>
  <si>
    <t>OAS0079.nii</t>
  </si>
  <si>
    <t>OAS0080.nii</t>
  </si>
  <si>
    <t>OAS0081.nii</t>
  </si>
  <si>
    <t>OAS0082.nii</t>
  </si>
  <si>
    <t>OAS0083.nii</t>
  </si>
  <si>
    <t>OAS0084.nii</t>
  </si>
  <si>
    <t>OAS0085.nii</t>
  </si>
  <si>
    <t>OAS0086.nii</t>
  </si>
  <si>
    <t>OAS0087.nii</t>
  </si>
  <si>
    <t>OAS0088.nii</t>
  </si>
  <si>
    <t>OAS0089.nii</t>
  </si>
  <si>
    <t>OAS0090.nii</t>
  </si>
  <si>
    <t>OAS0091.nii</t>
  </si>
  <si>
    <t>OAS0092.nii</t>
  </si>
  <si>
    <t>OAS0093.nii</t>
  </si>
  <si>
    <t>OAS0094.nii</t>
  </si>
  <si>
    <t>OAS0095.nii</t>
  </si>
  <si>
    <t>OAS0096.nii</t>
  </si>
  <si>
    <t>OAS0097.nii</t>
  </si>
  <si>
    <t>OAS0098.nii</t>
  </si>
  <si>
    <t>OAS0099.nii</t>
  </si>
  <si>
    <t>OAS0100.nii</t>
  </si>
  <si>
    <t>OAS0101.nii</t>
  </si>
  <si>
    <t>OAS0102.nii</t>
  </si>
  <si>
    <t>OAS0103.nii</t>
  </si>
  <si>
    <t>OAS0104.nii</t>
  </si>
  <si>
    <t>OAS0105.nii</t>
  </si>
  <si>
    <t>OAS0106.nii</t>
  </si>
  <si>
    <t>OAS0107.nii</t>
  </si>
  <si>
    <t>OAS0108.nii</t>
  </si>
  <si>
    <t>OAS0109.nii</t>
  </si>
  <si>
    <t>OAS0110.nii</t>
  </si>
  <si>
    <t>OAS0111.nii</t>
  </si>
  <si>
    <t>OAS0112.nii</t>
  </si>
  <si>
    <t>OAS0113.nii</t>
  </si>
  <si>
    <t>OAS0114.nii</t>
  </si>
  <si>
    <t>OAS0115.nii</t>
  </si>
  <si>
    <t>OAS0116.nii</t>
  </si>
  <si>
    <t>OAS0117.nii</t>
  </si>
  <si>
    <t>OAS0118.nii</t>
  </si>
  <si>
    <t>OAS0119.nii</t>
  </si>
  <si>
    <t>OAS0120.nii</t>
  </si>
  <si>
    <t>OAS0121.nii</t>
  </si>
  <si>
    <t>OAS0122.nii</t>
  </si>
  <si>
    <t>OAS0123.nii</t>
  </si>
  <si>
    <t>OAS0124.nii</t>
  </si>
  <si>
    <t>OAS0125.nii</t>
  </si>
  <si>
    <t>OAS0126.nii</t>
  </si>
  <si>
    <t>OAS0127.nii</t>
  </si>
  <si>
    <t>OAS0128.nii</t>
  </si>
  <si>
    <t>OAS0129.nii</t>
  </si>
  <si>
    <t>OAS0130.nii</t>
  </si>
  <si>
    <t>OAS0131.nii</t>
  </si>
  <si>
    <t>OAS0132.nii</t>
  </si>
  <si>
    <t>OAS0133.nii</t>
  </si>
  <si>
    <t>OAS0134.nii</t>
  </si>
  <si>
    <t>OAS0135.nii</t>
  </si>
  <si>
    <t>OAS0136.nii</t>
  </si>
  <si>
    <t>OAS0137.nii</t>
  </si>
  <si>
    <t>OAS0138.nii</t>
  </si>
  <si>
    <t>OAS0139.nii</t>
  </si>
  <si>
    <t>OAS0140.nii</t>
  </si>
  <si>
    <t>OAS0141.nii</t>
  </si>
  <si>
    <t>OAS0142.nii</t>
  </si>
  <si>
    <t>OAS0143.nii</t>
  </si>
  <si>
    <t>OAS0144.nii</t>
  </si>
  <si>
    <t>OAS0145.nii</t>
  </si>
  <si>
    <t>OAS0146.nii</t>
  </si>
  <si>
    <t>OAS0147.nii</t>
  </si>
  <si>
    <t>OAS0148.nii</t>
  </si>
  <si>
    <t>OAS0149.nii</t>
  </si>
  <si>
    <t>OAS0150.nii</t>
  </si>
  <si>
    <t>OAS0151.nii</t>
  </si>
  <si>
    <t>OAS0152.nii</t>
  </si>
  <si>
    <t>OAS0153.nii</t>
  </si>
  <si>
    <t>OAS0154.nii</t>
  </si>
  <si>
    <t>OAS0155.nii</t>
  </si>
  <si>
    <t>OAS0156.nii</t>
  </si>
  <si>
    <t>OAS0157.nii</t>
  </si>
  <si>
    <t>OAS0158.nii</t>
  </si>
  <si>
    <t>OAS0159.nii</t>
  </si>
  <si>
    <t>OAS0160.nii</t>
  </si>
  <si>
    <t>OAS0161.nii</t>
  </si>
  <si>
    <t>OAS0162.nii</t>
  </si>
  <si>
    <t>OAS0163.nii</t>
  </si>
  <si>
    <t>OAS0164.nii</t>
  </si>
  <si>
    <t>OAS0165.nii</t>
  </si>
  <si>
    <t>OAS0166.nii</t>
  </si>
  <si>
    <t>OAS0167.nii</t>
  </si>
  <si>
    <t>OAS0168.nii</t>
  </si>
  <si>
    <t>OAS0169.nii</t>
  </si>
  <si>
    <t>OAS0170.nii</t>
  </si>
  <si>
    <t>OAS0171.nii</t>
  </si>
  <si>
    <t>OAS0172.nii</t>
  </si>
  <si>
    <t>OAS0173.nii</t>
  </si>
  <si>
    <t>OAS0174.nii</t>
  </si>
  <si>
    <t>OAS0175.nii</t>
  </si>
  <si>
    <t>OAS0176.nii</t>
  </si>
  <si>
    <t>OAS0177.nii</t>
  </si>
  <si>
    <t>OAS0178.nii</t>
  </si>
  <si>
    <t>OAS0179.nii</t>
  </si>
  <si>
    <t>OAS0180.nii</t>
  </si>
  <si>
    <t>OAS0181.nii</t>
  </si>
  <si>
    <t>OAS0182.nii</t>
  </si>
  <si>
    <t>OAS0183.nii</t>
  </si>
  <si>
    <t>OAS0184.nii</t>
  </si>
  <si>
    <t>OAS0185.nii</t>
  </si>
  <si>
    <t>OAS0186.nii</t>
  </si>
  <si>
    <t>OAS0187.nii</t>
  </si>
  <si>
    <t>OAS0188.nii</t>
  </si>
  <si>
    <t>OAS0189.nii</t>
  </si>
  <si>
    <t>OAS0190.nii</t>
  </si>
  <si>
    <t>OAS0191.nii</t>
  </si>
  <si>
    <t>OAS0192.nii</t>
  </si>
  <si>
    <t>OAS0193.nii</t>
  </si>
  <si>
    <t>OAS0194.nii</t>
  </si>
  <si>
    <t>OAS0195.nii</t>
  </si>
  <si>
    <t>OAS0196.nii</t>
  </si>
  <si>
    <t>OAS0197.nii</t>
  </si>
  <si>
    <t>OAS0198.nii</t>
  </si>
  <si>
    <t>OAS0199.nii</t>
  </si>
  <si>
    <t>OAS0200.nii</t>
  </si>
  <si>
    <t>OAS0201.nii</t>
  </si>
  <si>
    <t>OAS0202.nii</t>
  </si>
  <si>
    <t>OAS0203.nii</t>
  </si>
  <si>
    <t>OAS0204.nii</t>
  </si>
  <si>
    <t>OAS0205.nii</t>
  </si>
  <si>
    <t>OAS0206.nii</t>
  </si>
  <si>
    <t>OAS0207.nii</t>
  </si>
  <si>
    <t>OAS0208.nii</t>
  </si>
  <si>
    <t>OAS0209.nii</t>
  </si>
  <si>
    <t>OAS0210.nii</t>
  </si>
  <si>
    <t>OAS0211.nii</t>
  </si>
  <si>
    <t>OAS0212.nii</t>
  </si>
  <si>
    <t>OAS0213.nii</t>
  </si>
  <si>
    <t>OAS0214.nii</t>
  </si>
  <si>
    <t>OAS0215.nii</t>
  </si>
  <si>
    <t>OAS0216.nii</t>
  </si>
  <si>
    <t>OAS0217.nii</t>
  </si>
  <si>
    <t>OAS0218.nii</t>
  </si>
  <si>
    <t>OAS0219.nii</t>
  </si>
  <si>
    <t>OAS0220.nii</t>
  </si>
  <si>
    <t>OAS0221.nii</t>
  </si>
  <si>
    <t>OAS0222.nii</t>
  </si>
  <si>
    <t>OAS0223.nii</t>
  </si>
  <si>
    <t>OAS0224.nii</t>
  </si>
  <si>
    <t>OAS0225.nii</t>
  </si>
  <si>
    <t>OAS0226.nii</t>
  </si>
  <si>
    <t>OAS0227.nii</t>
  </si>
  <si>
    <t>OAS0228.nii</t>
  </si>
  <si>
    <t>OAS0229.nii</t>
  </si>
  <si>
    <t>OAS0230.nii</t>
  </si>
  <si>
    <t>OAS0231.nii</t>
  </si>
  <si>
    <t>OAS0232.nii</t>
  </si>
  <si>
    <t>OAS0233.nii</t>
  </si>
  <si>
    <t>OAS0234.nii</t>
  </si>
  <si>
    <t>OAS0235.nii</t>
  </si>
  <si>
    <t>OAS0236.nii</t>
  </si>
  <si>
    <t>OAS0237.nii</t>
  </si>
  <si>
    <t>OAS0238.nii</t>
  </si>
  <si>
    <t>OAS0239.nii</t>
  </si>
  <si>
    <t>OAS0240.nii</t>
  </si>
  <si>
    <t>OAS0241.nii</t>
  </si>
  <si>
    <t>OAS0242.nii</t>
  </si>
  <si>
    <t>OAS0243.nii</t>
  </si>
  <si>
    <t>OAS0244.nii</t>
  </si>
  <si>
    <t>OAS0245.nii</t>
  </si>
  <si>
    <t>OAS0246.nii</t>
  </si>
  <si>
    <t>OAS0247.nii</t>
  </si>
  <si>
    <t>OAS0248.nii</t>
  </si>
  <si>
    <t>OAS0249.nii</t>
  </si>
  <si>
    <t>OAS0250.nii</t>
  </si>
  <si>
    <t>OAS0251.nii</t>
  </si>
  <si>
    <t>OAS0252.nii</t>
  </si>
  <si>
    <t>OAS0253.nii</t>
  </si>
  <si>
    <t>OAS0254.nii</t>
  </si>
  <si>
    <t>OAS0255.nii</t>
  </si>
  <si>
    <t>OAS0256.nii</t>
  </si>
  <si>
    <t>OAS0257.nii</t>
  </si>
  <si>
    <t>OAS0258.nii</t>
  </si>
  <si>
    <t>OAS0259.nii</t>
  </si>
  <si>
    <t>OAS0260.nii</t>
  </si>
  <si>
    <t>OAS0261.nii</t>
  </si>
  <si>
    <t>OAS0262.nii</t>
  </si>
  <si>
    <t>OAS0263.nii</t>
  </si>
  <si>
    <t>OAS0264.nii</t>
  </si>
  <si>
    <t>OAS0265.nii</t>
  </si>
  <si>
    <t>OAS0266.nii</t>
  </si>
  <si>
    <t>OAS0267.nii</t>
  </si>
  <si>
    <t>OAS0268.nii</t>
  </si>
  <si>
    <t>OAS0269.nii</t>
  </si>
  <si>
    <t>OAS0270.nii</t>
  </si>
  <si>
    <t>OAS0271.nii</t>
  </si>
  <si>
    <t>OAS0272.nii</t>
  </si>
  <si>
    <t>OAS0273.nii</t>
  </si>
  <si>
    <t>OAS0274.nii</t>
  </si>
  <si>
    <t>OAS0275.nii</t>
  </si>
  <si>
    <t>OAS0276.nii</t>
  </si>
  <si>
    <t>OAS0277.nii</t>
  </si>
  <si>
    <t>OAS0278.nii</t>
  </si>
  <si>
    <t>OAS0279.nii</t>
  </si>
  <si>
    <t>OAS0280.nii</t>
  </si>
  <si>
    <t>OAS0281.nii</t>
  </si>
  <si>
    <t>OAS0282.nii</t>
  </si>
  <si>
    <t>OAS0283.nii</t>
  </si>
  <si>
    <t>OAS0284.nii</t>
  </si>
  <si>
    <t>OAS0285.nii</t>
  </si>
  <si>
    <t>OAS0286.nii</t>
  </si>
  <si>
    <t>OAS0287.nii</t>
  </si>
  <si>
    <t>OAS0288.nii</t>
  </si>
  <si>
    <t>OAS0289.nii</t>
  </si>
  <si>
    <t>OAS0290.nii</t>
  </si>
  <si>
    <t>OAS0291.nii</t>
  </si>
  <si>
    <t>OAS0292.nii</t>
  </si>
  <si>
    <t>OAS0293.nii</t>
  </si>
  <si>
    <t>OAS0294.nii</t>
  </si>
  <si>
    <t>OAS0295.nii</t>
  </si>
  <si>
    <t>OAS0296.nii</t>
  </si>
  <si>
    <t>OAS0297.nii</t>
  </si>
  <si>
    <t>OAS0298.nii</t>
  </si>
  <si>
    <t>OAS0299.nii</t>
  </si>
  <si>
    <t>OAS0300.nii</t>
  </si>
  <si>
    <t>OAS0301.nii</t>
  </si>
  <si>
    <t>OAS0302.nii</t>
  </si>
  <si>
    <t>OAS0303.nii</t>
  </si>
  <si>
    <t>OAS0304.nii</t>
  </si>
  <si>
    <t>OAS0305.nii</t>
  </si>
  <si>
    <t>OAS0306.nii</t>
  </si>
  <si>
    <t>OAS0307.nii</t>
  </si>
  <si>
    <t>subject_id</t>
    <phoneticPr fontId="1" type="noConversion"/>
  </si>
  <si>
    <t>age</t>
    <phoneticPr fontId="1" type="noConversion"/>
  </si>
  <si>
    <t>mmse</t>
    <phoneticPr fontId="1" type="noConversion"/>
  </si>
  <si>
    <t>DX_bl</t>
    <phoneticPr fontId="1" type="noConversion"/>
  </si>
  <si>
    <t>OAS1_0001_MR1</t>
  </si>
  <si>
    <t>OAS1_0002_MR1</t>
  </si>
  <si>
    <t>OAS1_0003_MR1</t>
  </si>
  <si>
    <t>OAS1_0010_MR1</t>
  </si>
  <si>
    <t>OAS1_0011_MR1</t>
  </si>
  <si>
    <t>OAS1_0013_MR1</t>
  </si>
  <si>
    <t>OAS1_0015_MR1</t>
  </si>
  <si>
    <t>OAS1_0016_MR1</t>
  </si>
  <si>
    <t>OAS1_0018_MR1</t>
  </si>
  <si>
    <t>OAS1_0019_MR1</t>
  </si>
  <si>
    <t>OAS1_0020_MR1</t>
  </si>
  <si>
    <t>OAS1_0021_MR1</t>
  </si>
  <si>
    <t>OAS1_0022_MR1</t>
  </si>
  <si>
    <t>OAS1_0023_MR1</t>
  </si>
  <si>
    <t>OAS1_0026_MR1</t>
  </si>
  <si>
    <t>OAS1_0028_MR1</t>
  </si>
  <si>
    <t>OAS1_0030_MR1</t>
  </si>
  <si>
    <t>OAS1_0031_MR1</t>
  </si>
  <si>
    <t>OAS1_0032_MR1</t>
  </si>
  <si>
    <t>OAS1_0033_MR1</t>
  </si>
  <si>
    <t>OAS1_0034_MR1</t>
  </si>
  <si>
    <t>OAS1_0035_MR1</t>
  </si>
  <si>
    <t>OAS1_0039_MR1</t>
  </si>
  <si>
    <t>OAS1_0041_MR1</t>
  </si>
  <si>
    <t>OAS1_0042_MR1</t>
  </si>
  <si>
    <t>OAS1_0044_MR1</t>
  </si>
  <si>
    <t>OAS1_0046_MR1</t>
  </si>
  <si>
    <t>OAS1_0052_MR1</t>
  </si>
  <si>
    <t>OAS1_0053_MR1</t>
  </si>
  <si>
    <t>OAS1_0056_MR1</t>
  </si>
  <si>
    <t>OAS1_0058_MR1</t>
  </si>
  <si>
    <t>OAS1_0060_MR1</t>
  </si>
  <si>
    <t>OAS1_0062_MR1</t>
  </si>
  <si>
    <t>OAS1_0064_MR1</t>
  </si>
  <si>
    <t>OAS1_0065_MR1</t>
  </si>
  <si>
    <t>OAS1_0066_MR1</t>
  </si>
  <si>
    <t>OAS1_0067_MR1</t>
  </si>
  <si>
    <t>OAS1_0068_MR1</t>
  </si>
  <si>
    <t>OAS1_0069_MR1</t>
  </si>
  <si>
    <t>OAS1_0070_MR1</t>
  </si>
  <si>
    <t>OAS1_0071_MR1</t>
  </si>
  <si>
    <t>OAS1_0072_MR1</t>
  </si>
  <si>
    <t>OAS1_0073_MR1</t>
  </si>
  <si>
    <t>OAS1_0074_MR1</t>
  </si>
  <si>
    <t>OAS1_0075_MR1</t>
  </si>
  <si>
    <t>OAS1_0078_MR1</t>
  </si>
  <si>
    <t>OAS1_0082_MR1</t>
  </si>
  <si>
    <t>OAS1_0083_MR1</t>
  </si>
  <si>
    <t>OAS1_0084_MR1</t>
  </si>
  <si>
    <t>OAS1_0085_MR1</t>
  </si>
  <si>
    <t>OAS1_0086_MR1</t>
  </si>
  <si>
    <t>OAS1_0094_MR1</t>
  </si>
  <si>
    <t>OAS1_0096_MR1</t>
  </si>
  <si>
    <t>OAS1_0098_MR1</t>
  </si>
  <si>
    <t>OAS1_0106_MR1</t>
  </si>
  <si>
    <t>OAS1_0109_MR1</t>
  </si>
  <si>
    <t>OAS1_0110_MR1</t>
  </si>
  <si>
    <t>OAS1_0112_MR1</t>
  </si>
  <si>
    <t>OAS1_0113_MR1</t>
  </si>
  <si>
    <t>OAS1_0114_MR1</t>
  </si>
  <si>
    <t>OAS1_0115_MR1</t>
  </si>
  <si>
    <t>OAS1_0116_MR1</t>
  </si>
  <si>
    <t>OAS1_0120_MR1</t>
  </si>
  <si>
    <t>OAS1_0122_MR1</t>
  </si>
  <si>
    <t>OAS1_0123_MR1</t>
  </si>
  <si>
    <t>OAS1_0124_MR1</t>
  </si>
  <si>
    <t>OAS1_0130_MR1</t>
  </si>
  <si>
    <t>OAS1_0133_MR1</t>
  </si>
  <si>
    <t>OAS1_0134_MR1</t>
  </si>
  <si>
    <t>OAS1_0135_MR1</t>
  </si>
  <si>
    <t>OAS1_0137_MR1</t>
  </si>
  <si>
    <t>OAS1_0138_MR1</t>
  </si>
  <si>
    <t>OAS1_0139_MR1</t>
  </si>
  <si>
    <t>OAS1_0142_MR1</t>
  </si>
  <si>
    <t>OAS1_0143_MR1</t>
  </si>
  <si>
    <t>OAS1_0146_MR1</t>
  </si>
  <si>
    <t>OAS1_0155_MR1</t>
  </si>
  <si>
    <t>OAS1_0157_MR1</t>
  </si>
  <si>
    <t>OAS1_0158_MR1</t>
  </si>
  <si>
    <t>OAS1_0161_MR1</t>
  </si>
  <si>
    <t>OAS1_0164_MR1</t>
  </si>
  <si>
    <t>OAS1_0165_MR1</t>
  </si>
  <si>
    <t>OAS1_0166_MR1</t>
  </si>
  <si>
    <t>OAS1_0169_MR1</t>
  </si>
  <si>
    <t>OAS1_0170_MR1</t>
  </si>
  <si>
    <t>OAS1_0176_MR1</t>
  </si>
  <si>
    <t>OAS1_0177_MR1</t>
  </si>
  <si>
    <t>OAS1_0179_MR1</t>
  </si>
  <si>
    <t>OAS1_0180_MR1</t>
  </si>
  <si>
    <t>OAS1_0181_MR1</t>
  </si>
  <si>
    <t>OAS1_0184_MR1</t>
  </si>
  <si>
    <t>OAS1_0185_MR1</t>
  </si>
  <si>
    <t>OAS1_0186_MR1</t>
  </si>
  <si>
    <t>OAS1_0188_MR1</t>
  </si>
  <si>
    <t>OAS1_0195_MR1</t>
  </si>
  <si>
    <t>OAS1_0197_MR1</t>
  </si>
  <si>
    <t>OAS1_0199_MR1</t>
  </si>
  <si>
    <t>OAS1_0200_MR1</t>
  </si>
  <si>
    <t>OAS1_0201_MR1</t>
  </si>
  <si>
    <t>OAS1_0203_MR1</t>
  </si>
  <si>
    <t>OAS1_0204_MR1</t>
  </si>
  <si>
    <t>OAS1_0205_MR1</t>
  </si>
  <si>
    <t>OAS1_0206_MR1</t>
  </si>
  <si>
    <t>OAS1_0207_MR1</t>
  </si>
  <si>
    <t>OAS1_0208_MR1</t>
  </si>
  <si>
    <t>OAS1_0210_MR1</t>
  </si>
  <si>
    <t>OAS1_0212_MR1</t>
  </si>
  <si>
    <t>OAS1_0216_MR1</t>
  </si>
  <si>
    <t>OAS1_0217_MR1</t>
  </si>
  <si>
    <t>OAS1_0220_MR1</t>
  </si>
  <si>
    <t>OAS1_0221_MR1</t>
  </si>
  <si>
    <t>OAS1_0223_MR1</t>
  </si>
  <si>
    <t>OAS1_0226_MR1</t>
  </si>
  <si>
    <t>OAS1_0228_MR1</t>
  </si>
  <si>
    <t>OAS1_0229_MR1</t>
  </si>
  <si>
    <t>OAS1_0233_MR1</t>
  </si>
  <si>
    <t>OAS1_0234_MR1</t>
  </si>
  <si>
    <t>OAS1_0237_MR1</t>
  </si>
  <si>
    <t>OAS1_0238_MR1</t>
  </si>
  <si>
    <t>OAS1_0240_MR1</t>
  </si>
  <si>
    <t>OAS1_0241_MR1</t>
  </si>
  <si>
    <t>OAS1_0243_MR1</t>
  </si>
  <si>
    <t>OAS1_0244_MR1</t>
  </si>
  <si>
    <t>OAS1_0247_MR1</t>
  </si>
  <si>
    <t>OAS1_0254_MR1</t>
  </si>
  <si>
    <t>OAS1_0255_MR1</t>
  </si>
  <si>
    <t>OAS1_0256_MR1</t>
  </si>
  <si>
    <t>OAS1_0259_MR1</t>
  </si>
  <si>
    <t>OAS1_0260_MR1</t>
  </si>
  <si>
    <t>OAS1_0262_MR1</t>
  </si>
  <si>
    <t>OAS1_0263_MR1</t>
  </si>
  <si>
    <t>OAS1_0266_MR1</t>
  </si>
  <si>
    <t>OAS1_0267_MR1</t>
  </si>
  <si>
    <t>OAS1_0268_MR1</t>
  </si>
  <si>
    <t>OAS1_0269_MR1</t>
  </si>
  <si>
    <t>OAS1_0270_MR1</t>
  </si>
  <si>
    <t>OAS1_0271_MR1</t>
  </si>
  <si>
    <t>OAS1_0272_MR1</t>
  </si>
  <si>
    <t>OAS1_0273_MR1</t>
  </si>
  <si>
    <t>OAS1_0274_MR1</t>
  </si>
  <si>
    <t>OAS1_0278_MR1</t>
  </si>
  <si>
    <t>OAS1_0279_MR1</t>
  </si>
  <si>
    <t>OAS1_0280_MR1</t>
  </si>
  <si>
    <t>OAS1_0284_MR1</t>
  </si>
  <si>
    <t>OAS1_0286_MR1</t>
  </si>
  <si>
    <t>OAS1_0287_MR1</t>
  </si>
  <si>
    <t>OAS1_0288_MR1</t>
  </si>
  <si>
    <t>OAS1_0289_MR1</t>
  </si>
  <si>
    <t>OAS1_0290_MR1</t>
  </si>
  <si>
    <t>OAS1_0291_MR1</t>
  </si>
  <si>
    <t>OAS1_0292_MR1</t>
  </si>
  <si>
    <t>OAS1_0293_MR1</t>
  </si>
  <si>
    <t>OAS1_0298_MR1</t>
  </si>
  <si>
    <t>OAS1_0299_MR1</t>
  </si>
  <si>
    <t>OAS1_0300_MR1</t>
  </si>
  <si>
    <t>OAS1_0301_MR1</t>
  </si>
  <si>
    <t>OAS1_0303_MR1</t>
  </si>
  <si>
    <t>OAS1_0304_MR1</t>
  </si>
  <si>
    <t>OAS1_0307_MR1</t>
  </si>
  <si>
    <t>OAS1_0308_MR1</t>
  </si>
  <si>
    <t>OAS1_0309_MR1</t>
  </si>
  <si>
    <t>OAS1_0312_MR1</t>
  </si>
  <si>
    <t>OAS1_0315_MR1</t>
  </si>
  <si>
    <t>OAS1_0316_MR1</t>
  </si>
  <si>
    <t>OAS1_0317_MR1</t>
  </si>
  <si>
    <t>OAS1_0322_MR1</t>
  </si>
  <si>
    <t>OAS1_0323_MR1</t>
  </si>
  <si>
    <t>OAS1_0326_MR1</t>
  </si>
  <si>
    <t>OAS1_0329_MR1</t>
  </si>
  <si>
    <t>OAS1_0330_MR1</t>
  </si>
  <si>
    <t>OAS1_0332_MR1</t>
  </si>
  <si>
    <t>OAS1_0335_MR1</t>
  </si>
  <si>
    <t>OAS1_0337_MR1</t>
  </si>
  <si>
    <t>OAS1_0338_MR1</t>
  </si>
  <si>
    <t>OAS1_0339_MR1</t>
  </si>
  <si>
    <t>OAS1_0341_MR1</t>
  </si>
  <si>
    <t>OAS1_0342_MR1</t>
  </si>
  <si>
    <t>OAS1_0343_MR1</t>
  </si>
  <si>
    <t>OAS1_0345_MR1</t>
  </si>
  <si>
    <t>OAS1_0351_MR1</t>
  </si>
  <si>
    <t>OAS1_0352_MR1</t>
  </si>
  <si>
    <t>OAS1_0354_MR1</t>
  </si>
  <si>
    <t>OAS1_0355_MR1</t>
  </si>
  <si>
    <t>OAS1_0356_MR1</t>
  </si>
  <si>
    <t>OAS1_0357_MR1</t>
  </si>
  <si>
    <t>OAS1_0358_MR1</t>
  </si>
  <si>
    <t>OAS1_0362_MR1</t>
  </si>
  <si>
    <t>OAS1_0363_MR1</t>
  </si>
  <si>
    <t>OAS1_0365_MR1</t>
  </si>
  <si>
    <t>OAS1_0366_MR1</t>
  </si>
  <si>
    <t>OAS1_0367_MR1</t>
  </si>
  <si>
    <t>OAS1_0369_MR1</t>
  </si>
  <si>
    <t>OAS1_0371_MR1</t>
  </si>
  <si>
    <t>OAS1_0372_MR1</t>
  </si>
  <si>
    <t>OAS1_0373_MR1</t>
  </si>
  <si>
    <t>OAS1_0374_MR1</t>
  </si>
  <si>
    <t>OAS1_0378_MR1</t>
  </si>
  <si>
    <t>OAS1_0380_MR1</t>
  </si>
  <si>
    <t>OAS1_0381_MR1</t>
  </si>
  <si>
    <t>OAS1_0382_MR1</t>
  </si>
  <si>
    <t>OAS1_0388_MR1</t>
  </si>
  <si>
    <t>OAS1_0390_MR1</t>
  </si>
  <si>
    <t>OAS1_0398_MR1</t>
  </si>
  <si>
    <t>OAS1_0399_MR1</t>
  </si>
  <si>
    <t>OAS1_0400_MR1</t>
  </si>
  <si>
    <t>OAS1_0401_MR1</t>
  </si>
  <si>
    <t>OAS1_0402_MR1</t>
  </si>
  <si>
    <t>OAS1_0404_MR1</t>
  </si>
  <si>
    <t>OAS1_0405_MR1</t>
  </si>
  <si>
    <t>OAS1_0411_MR1</t>
  </si>
  <si>
    <t>OAS1_0418_MR1</t>
  </si>
  <si>
    <t>OAS1_0422_MR1</t>
  </si>
  <si>
    <t>OAS1_0423_MR1</t>
  </si>
  <si>
    <t>OAS1_0424_MR1</t>
  </si>
  <si>
    <t>OAS1_0425_MR1</t>
  </si>
  <si>
    <t>OAS1_0426_MR1</t>
  </si>
  <si>
    <t>OAS1_0428_MR1</t>
  </si>
  <si>
    <t>OAS1_0430_MR1</t>
  </si>
  <si>
    <t>OAS1_0432_MR1</t>
  </si>
  <si>
    <t>OAS1_0433_MR1</t>
  </si>
  <si>
    <t>OAS1_0438_MR1</t>
  </si>
  <si>
    <t>OAS1_0440_MR1</t>
  </si>
  <si>
    <t>OAS1_0441_MR1</t>
  </si>
  <si>
    <t>OAS1_0443_MR1</t>
  </si>
  <si>
    <t>OAS1_0445_MR1</t>
  </si>
  <si>
    <t>OAS1_0446_MR1</t>
  </si>
  <si>
    <t>OAS1_0447_MR1</t>
  </si>
  <si>
    <t>OAS1_0449_MR1</t>
  </si>
  <si>
    <t>OAS1_0451_MR1</t>
  </si>
  <si>
    <t>OAS1_0452_MR1</t>
  </si>
  <si>
    <t>OAS1_0453_MR1</t>
  </si>
  <si>
    <t>OAS1_0454_MR1</t>
  </si>
  <si>
    <t>OAS1_0455_MR1</t>
  </si>
  <si>
    <t>OAS1_0456_MR1</t>
  </si>
  <si>
    <t>OAS1_0457_MR1</t>
  </si>
  <si>
    <t>OAS2_0001_MR1</t>
  </si>
  <si>
    <t>OAS2_0004_MR1</t>
  </si>
  <si>
    <t>OAS2_0005_MR1</t>
  </si>
  <si>
    <t>OAS2_0008_MR1</t>
  </si>
  <si>
    <t>OAS2_0012_MR1</t>
  </si>
  <si>
    <t>OAS2_0013_MR1</t>
  </si>
  <si>
    <t>OAS2_0017_MR1</t>
  </si>
  <si>
    <t>OAS2_0022_MR1</t>
  </si>
  <si>
    <t>OAS2_0027_MR1</t>
  </si>
  <si>
    <t>OAS2_0029_MR1</t>
  </si>
  <si>
    <t>OAS2_0030_MR1</t>
  </si>
  <si>
    <t>OAS2_0034_MR1</t>
  </si>
  <si>
    <t>OAS2_0035_MR1</t>
  </si>
  <si>
    <t>OAS2_0036_MR1</t>
  </si>
  <si>
    <t>OAS2_0042_MR1</t>
  </si>
  <si>
    <t>OAS2_0045_MR1</t>
  </si>
  <si>
    <t>OAS2_0047_MR1</t>
  </si>
  <si>
    <t>OAS2_0049_MR1</t>
  </si>
  <si>
    <t>OAS2_0051_MR1</t>
  </si>
  <si>
    <t>OAS2_0052_MR1</t>
  </si>
  <si>
    <t>OAS2_0053_MR1</t>
  </si>
  <si>
    <t>OAS2_0055_MR1</t>
  </si>
  <si>
    <t>OAS2_0056_MR1</t>
  </si>
  <si>
    <t>OAS2_0057_MR1</t>
  </si>
  <si>
    <t>OAS2_0061_MR1</t>
  </si>
  <si>
    <t>OAS2_0062_MR1</t>
  </si>
  <si>
    <t>OAS2_0067_MR1</t>
  </si>
  <si>
    <t>OAS2_0068_MR1</t>
  </si>
  <si>
    <t>OAS2_0069_MR1</t>
  </si>
  <si>
    <t>OAS2_0070_MR1</t>
  </si>
  <si>
    <t>OAS2_0073_MR1</t>
  </si>
  <si>
    <t>OAS2_0076_MR1</t>
  </si>
  <si>
    <t>OAS2_0077_MR1</t>
  </si>
  <si>
    <t>OAS2_0078_MR1</t>
  </si>
  <si>
    <t>OAS2_0085_MR1</t>
  </si>
  <si>
    <t>OAS2_0086_MR1</t>
  </si>
  <si>
    <t>OAS2_0090_MR1</t>
  </si>
  <si>
    <t>OAS2_0091_MR1</t>
  </si>
  <si>
    <t>OAS2_0094_MR1</t>
  </si>
  <si>
    <t>OAS2_0095_MR1</t>
  </si>
  <si>
    <t>OAS2_0096_MR1</t>
  </si>
  <si>
    <t>OAS2_0097_MR1</t>
  </si>
  <si>
    <t>OAS2_0100_MR1</t>
  </si>
  <si>
    <t>OAS2_0101_MR1</t>
  </si>
  <si>
    <t>OAS2_0105_MR1</t>
  </si>
  <si>
    <t>OAS2_0109_MR2</t>
  </si>
  <si>
    <t>OAS2_0117_MR1</t>
  </si>
  <si>
    <t>OAS2_0119_MR1</t>
  </si>
  <si>
    <t>OAS2_0121_MR1</t>
  </si>
  <si>
    <t>OAS2_0122_MR1</t>
  </si>
  <si>
    <t>OAS2_0126_MR1</t>
  </si>
  <si>
    <t>OAS2_0128_MR1</t>
  </si>
  <si>
    <t>OAS2_0129_MR1</t>
  </si>
  <si>
    <t>OAS2_0135_MR1</t>
  </si>
  <si>
    <t>OAS2_0138_MR1</t>
  </si>
  <si>
    <t>OAS2_0141_MR1</t>
  </si>
  <si>
    <t>OAS2_0142_MR1</t>
  </si>
  <si>
    <t>OAS2_0143_MR1</t>
  </si>
  <si>
    <t>OAS2_0147_MR1</t>
  </si>
  <si>
    <t>OAS2_0149_MR1</t>
  </si>
  <si>
    <t>OAS2_0152_MR1</t>
  </si>
  <si>
    <t>OAS2_0154_MR1</t>
  </si>
  <si>
    <t>OAS2_0156_MR1</t>
  </si>
  <si>
    <t>OAS2_0158_MR1</t>
  </si>
  <si>
    <t>OAS2_0161_MR1</t>
  </si>
  <si>
    <t>OAS2_0169_MR1</t>
  </si>
  <si>
    <t>OAS2_0171_MR1</t>
  </si>
  <si>
    <t>OAS2_0174_MR1</t>
  </si>
  <si>
    <t>OAS2_0177_MR1</t>
  </si>
  <si>
    <t>OAS2_0178_MR1</t>
  </si>
  <si>
    <t>OAS2_0183_MR1</t>
  </si>
  <si>
    <t>OAS2_0186_MR1</t>
  </si>
  <si>
    <t>gender</t>
    <phoneticPr fontId="1" type="noConversion"/>
  </si>
  <si>
    <t>CN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</si>
</sst>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Border="1" applyAlignment="1">
      <alignment horizontal="center" vertical="top"/>
    </xf>
    <xf numFmtId="0" fontId="3" fillId="0" borderId="0" xfId="0" applyFont="1" applyBorder="1"/>
    <xf numFmtId="0" fontId="3" fillId="0" borderId="0" xfId="0" applyFont="1" applyFill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younghyun/OASIS/OASIS1/oasis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younghyun/OASIS/OASIS2/oasis_longitudinal_demographic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asis_cross-sectional"/>
    </sheetNames>
    <sheetDataSet>
      <sheetData sheetId="0">
        <row r="1">
          <cell r="A1" t="str">
            <v>ID</v>
          </cell>
          <cell r="B1" t="str">
            <v>M/F</v>
          </cell>
          <cell r="C1" t="str">
            <v>Hand</v>
          </cell>
          <cell r="D1" t="str">
            <v>Age</v>
          </cell>
          <cell r="E1" t="str">
            <v>Educ</v>
          </cell>
          <cell r="F1" t="str">
            <v>SES</v>
          </cell>
          <cell r="G1" t="str">
            <v>MMSE</v>
          </cell>
          <cell r="H1" t="str">
            <v>CDR</v>
          </cell>
          <cell r="I1" t="str">
            <v>eTIV</v>
          </cell>
          <cell r="J1" t="str">
            <v>nWBV</v>
          </cell>
          <cell r="K1" t="str">
            <v>ASF</v>
          </cell>
        </row>
        <row r="2">
          <cell r="A2" t="str">
            <v>OAS1_0001_MR1</v>
          </cell>
          <cell r="B2" t="str">
            <v>F</v>
          </cell>
          <cell r="C2" t="str">
            <v>R</v>
          </cell>
          <cell r="D2">
            <v>74</v>
          </cell>
          <cell r="E2">
            <v>2</v>
          </cell>
          <cell r="F2">
            <v>3</v>
          </cell>
          <cell r="G2">
            <v>29</v>
          </cell>
          <cell r="H2">
            <v>0</v>
          </cell>
          <cell r="I2">
            <v>1344</v>
          </cell>
          <cell r="J2">
            <v>0.74299999999999999</v>
          </cell>
          <cell r="K2">
            <v>1.306</v>
          </cell>
        </row>
        <row r="3">
          <cell r="A3" t="str">
            <v>OAS1_0002_MR1</v>
          </cell>
          <cell r="B3" t="str">
            <v>F</v>
          </cell>
          <cell r="C3" t="str">
            <v>R</v>
          </cell>
          <cell r="D3">
            <v>55</v>
          </cell>
          <cell r="E3">
            <v>4</v>
          </cell>
          <cell r="F3">
            <v>1</v>
          </cell>
          <cell r="G3">
            <v>29</v>
          </cell>
          <cell r="H3">
            <v>0</v>
          </cell>
          <cell r="I3">
            <v>1147</v>
          </cell>
          <cell r="J3">
            <v>0.81</v>
          </cell>
          <cell r="K3">
            <v>1.5309999999999999</v>
          </cell>
        </row>
        <row r="4">
          <cell r="A4" t="str">
            <v>OAS1_0003_MR1</v>
          </cell>
          <cell r="B4" t="str">
            <v>F</v>
          </cell>
          <cell r="C4" t="str">
            <v>R</v>
          </cell>
          <cell r="D4">
            <v>73</v>
          </cell>
          <cell r="E4">
            <v>4</v>
          </cell>
          <cell r="F4">
            <v>3</v>
          </cell>
          <cell r="G4">
            <v>27</v>
          </cell>
          <cell r="H4">
            <v>0.5</v>
          </cell>
          <cell r="I4">
            <v>1454</v>
          </cell>
          <cell r="J4">
            <v>0.70799999999999996</v>
          </cell>
          <cell r="K4">
            <v>1.2070000000000001</v>
          </cell>
        </row>
        <row r="5">
          <cell r="A5" t="str">
            <v>OAS1_0010_MR1</v>
          </cell>
          <cell r="B5" t="str">
            <v>M</v>
          </cell>
          <cell r="C5" t="str">
            <v>R</v>
          </cell>
          <cell r="D5">
            <v>74</v>
          </cell>
          <cell r="E5">
            <v>5</v>
          </cell>
          <cell r="F5">
            <v>2</v>
          </cell>
          <cell r="G5">
            <v>30</v>
          </cell>
          <cell r="H5">
            <v>0</v>
          </cell>
          <cell r="I5">
            <v>1636</v>
          </cell>
          <cell r="J5">
            <v>0.68899999999999995</v>
          </cell>
          <cell r="K5">
            <v>1.073</v>
          </cell>
        </row>
        <row r="6">
          <cell r="A6" t="str">
            <v>OAS1_0011_MR1</v>
          </cell>
          <cell r="B6" t="str">
            <v>F</v>
          </cell>
          <cell r="C6" t="str">
            <v>R</v>
          </cell>
          <cell r="D6">
            <v>52</v>
          </cell>
          <cell r="E6">
            <v>3</v>
          </cell>
          <cell r="F6">
            <v>2</v>
          </cell>
          <cell r="G6">
            <v>30</v>
          </cell>
          <cell r="H6">
            <v>0</v>
          </cell>
          <cell r="I6">
            <v>1321</v>
          </cell>
          <cell r="J6">
            <v>0.82699999999999996</v>
          </cell>
          <cell r="K6">
            <v>1.329</v>
          </cell>
        </row>
        <row r="7">
          <cell r="A7" t="str">
            <v>OAS1_0013_MR1</v>
          </cell>
          <cell r="B7" t="str">
            <v>F</v>
          </cell>
          <cell r="C7" t="str">
            <v>R</v>
          </cell>
          <cell r="D7">
            <v>81</v>
          </cell>
          <cell r="E7">
            <v>5</v>
          </cell>
          <cell r="F7">
            <v>2</v>
          </cell>
          <cell r="G7">
            <v>30</v>
          </cell>
          <cell r="H7">
            <v>0</v>
          </cell>
          <cell r="I7">
            <v>1664</v>
          </cell>
          <cell r="J7">
            <v>0.67900000000000005</v>
          </cell>
          <cell r="K7">
            <v>1.0549999999999999</v>
          </cell>
        </row>
        <row r="8">
          <cell r="A8" t="str">
            <v>OAS1_0015_MR1</v>
          </cell>
          <cell r="B8" t="str">
            <v>M</v>
          </cell>
          <cell r="C8" t="str">
            <v>R</v>
          </cell>
          <cell r="D8">
            <v>76</v>
          </cell>
          <cell r="E8">
            <v>2</v>
          </cell>
          <cell r="G8">
            <v>28</v>
          </cell>
          <cell r="H8">
            <v>0.5</v>
          </cell>
          <cell r="I8">
            <v>1738</v>
          </cell>
          <cell r="J8">
            <v>0.71899999999999997</v>
          </cell>
          <cell r="K8">
            <v>1.01</v>
          </cell>
        </row>
        <row r="9">
          <cell r="A9" t="str">
            <v>OAS1_0016_MR1</v>
          </cell>
          <cell r="B9" t="str">
            <v>M</v>
          </cell>
          <cell r="C9" t="str">
            <v>R</v>
          </cell>
          <cell r="D9">
            <v>82</v>
          </cell>
          <cell r="E9">
            <v>2</v>
          </cell>
          <cell r="F9">
            <v>4</v>
          </cell>
          <cell r="G9">
            <v>27</v>
          </cell>
          <cell r="H9">
            <v>0.5</v>
          </cell>
          <cell r="I9">
            <v>1477</v>
          </cell>
          <cell r="J9">
            <v>0.73899999999999999</v>
          </cell>
          <cell r="K9">
            <v>1.1879999999999999</v>
          </cell>
        </row>
        <row r="10">
          <cell r="A10" t="str">
            <v>OAS1_0018_MR1</v>
          </cell>
          <cell r="B10" t="str">
            <v>M</v>
          </cell>
          <cell r="C10" t="str">
            <v>R</v>
          </cell>
          <cell r="D10">
            <v>39</v>
          </cell>
          <cell r="E10">
            <v>3</v>
          </cell>
          <cell r="F10">
            <v>4</v>
          </cell>
          <cell r="G10">
            <v>28</v>
          </cell>
          <cell r="H10">
            <v>0</v>
          </cell>
          <cell r="I10">
            <v>1636</v>
          </cell>
          <cell r="J10">
            <v>0.81299999999999994</v>
          </cell>
          <cell r="K10">
            <v>1.073</v>
          </cell>
        </row>
        <row r="11">
          <cell r="A11" t="str">
            <v>OAS1_0019_MR1</v>
          </cell>
          <cell r="B11" t="str">
            <v>F</v>
          </cell>
          <cell r="C11" t="str">
            <v>R</v>
          </cell>
          <cell r="D11">
            <v>89</v>
          </cell>
          <cell r="E11">
            <v>5</v>
          </cell>
          <cell r="F11">
            <v>1</v>
          </cell>
          <cell r="G11">
            <v>30</v>
          </cell>
          <cell r="H11">
            <v>0</v>
          </cell>
          <cell r="I11">
            <v>1536</v>
          </cell>
          <cell r="J11">
            <v>0.71499999999999997</v>
          </cell>
          <cell r="K11">
            <v>1.1419999999999999</v>
          </cell>
        </row>
        <row r="12">
          <cell r="A12" t="str">
            <v>OAS1_0020_MR1</v>
          </cell>
          <cell r="B12" t="str">
            <v>F</v>
          </cell>
          <cell r="C12" t="str">
            <v>R</v>
          </cell>
          <cell r="D12">
            <v>48</v>
          </cell>
          <cell r="E12">
            <v>5</v>
          </cell>
          <cell r="F12">
            <v>2</v>
          </cell>
          <cell r="G12">
            <v>29</v>
          </cell>
          <cell r="H12">
            <v>0</v>
          </cell>
          <cell r="I12">
            <v>1326</v>
          </cell>
          <cell r="J12">
            <v>0.78500000000000003</v>
          </cell>
          <cell r="K12">
            <v>1.323</v>
          </cell>
        </row>
        <row r="13">
          <cell r="A13" t="str">
            <v>OAS1_0021_MR1</v>
          </cell>
          <cell r="B13" t="str">
            <v>F</v>
          </cell>
          <cell r="C13" t="str">
            <v>R</v>
          </cell>
          <cell r="D13">
            <v>80</v>
          </cell>
          <cell r="E13">
            <v>3</v>
          </cell>
          <cell r="F13">
            <v>3</v>
          </cell>
          <cell r="G13">
            <v>23</v>
          </cell>
          <cell r="H13">
            <v>0.5</v>
          </cell>
          <cell r="I13">
            <v>1794</v>
          </cell>
          <cell r="J13">
            <v>0.76500000000000001</v>
          </cell>
          <cell r="K13">
            <v>0.97799999999999998</v>
          </cell>
        </row>
        <row r="14">
          <cell r="A14" t="str">
            <v>OAS1_0022_MR1</v>
          </cell>
          <cell r="B14" t="str">
            <v>F</v>
          </cell>
          <cell r="C14" t="str">
            <v>R</v>
          </cell>
          <cell r="D14">
            <v>69</v>
          </cell>
          <cell r="E14">
            <v>2</v>
          </cell>
          <cell r="F14">
            <v>4</v>
          </cell>
          <cell r="G14">
            <v>23</v>
          </cell>
          <cell r="H14">
            <v>0.5</v>
          </cell>
          <cell r="I14">
            <v>1447</v>
          </cell>
          <cell r="J14">
            <v>0.75700000000000001</v>
          </cell>
          <cell r="K14">
            <v>1.2130000000000001</v>
          </cell>
        </row>
        <row r="15">
          <cell r="A15" t="str">
            <v>OAS1_0023_MR1</v>
          </cell>
          <cell r="B15" t="str">
            <v>M</v>
          </cell>
          <cell r="C15" t="str">
            <v>R</v>
          </cell>
          <cell r="D15">
            <v>82</v>
          </cell>
          <cell r="E15">
            <v>2</v>
          </cell>
          <cell r="F15">
            <v>3</v>
          </cell>
          <cell r="G15">
            <v>27</v>
          </cell>
          <cell r="H15">
            <v>0.5</v>
          </cell>
          <cell r="I15">
            <v>1420</v>
          </cell>
          <cell r="J15">
            <v>0.71</v>
          </cell>
          <cell r="K15">
            <v>1.236</v>
          </cell>
        </row>
        <row r="16">
          <cell r="A16" t="str">
            <v>OAS1_0026_MR1</v>
          </cell>
          <cell r="B16" t="str">
            <v>F</v>
          </cell>
          <cell r="C16" t="str">
            <v>R</v>
          </cell>
          <cell r="D16">
            <v>58</v>
          </cell>
          <cell r="E16">
            <v>5</v>
          </cell>
          <cell r="F16">
            <v>1</v>
          </cell>
          <cell r="G16">
            <v>30</v>
          </cell>
          <cell r="H16">
            <v>0</v>
          </cell>
          <cell r="I16">
            <v>1235</v>
          </cell>
          <cell r="J16">
            <v>0.82</v>
          </cell>
          <cell r="K16">
            <v>1.421</v>
          </cell>
        </row>
        <row r="17">
          <cell r="A17" t="str">
            <v>OAS1_0028_MR1</v>
          </cell>
          <cell r="B17" t="str">
            <v>F</v>
          </cell>
          <cell r="C17" t="str">
            <v>R</v>
          </cell>
          <cell r="D17">
            <v>86</v>
          </cell>
          <cell r="E17">
            <v>2</v>
          </cell>
          <cell r="F17">
            <v>4</v>
          </cell>
          <cell r="G17">
            <v>27</v>
          </cell>
          <cell r="H17">
            <v>1</v>
          </cell>
          <cell r="I17">
            <v>1449</v>
          </cell>
          <cell r="J17">
            <v>0.73799999999999999</v>
          </cell>
          <cell r="K17">
            <v>1.2110000000000001</v>
          </cell>
        </row>
        <row r="18">
          <cell r="A18" t="str">
            <v>OAS1_0030_MR1</v>
          </cell>
          <cell r="B18" t="str">
            <v>F</v>
          </cell>
          <cell r="C18" t="str">
            <v>R</v>
          </cell>
          <cell r="D18">
            <v>65</v>
          </cell>
          <cell r="E18">
            <v>2</v>
          </cell>
          <cell r="F18">
            <v>3</v>
          </cell>
          <cell r="G18">
            <v>29</v>
          </cell>
          <cell r="H18">
            <v>0</v>
          </cell>
          <cell r="I18">
            <v>1392</v>
          </cell>
          <cell r="J18">
            <v>0.76400000000000001</v>
          </cell>
          <cell r="K18">
            <v>1.2609999999999999</v>
          </cell>
        </row>
        <row r="19">
          <cell r="A19" t="str">
            <v>OAS1_0031_MR1</v>
          </cell>
          <cell r="B19" t="str">
            <v>M</v>
          </cell>
          <cell r="C19" t="str">
            <v>R</v>
          </cell>
          <cell r="D19">
            <v>88</v>
          </cell>
          <cell r="E19">
            <v>1</v>
          </cell>
          <cell r="F19">
            <v>4</v>
          </cell>
          <cell r="G19">
            <v>26</v>
          </cell>
          <cell r="H19">
            <v>1</v>
          </cell>
          <cell r="I19">
            <v>1419</v>
          </cell>
          <cell r="J19">
            <v>0.67400000000000004</v>
          </cell>
          <cell r="K19">
            <v>1.236</v>
          </cell>
        </row>
        <row r="20">
          <cell r="A20" t="str">
            <v>OAS1_0032_MR1</v>
          </cell>
          <cell r="B20" t="str">
            <v>M</v>
          </cell>
          <cell r="C20" t="str">
            <v>R</v>
          </cell>
          <cell r="D20">
            <v>89</v>
          </cell>
          <cell r="E20">
            <v>4</v>
          </cell>
          <cell r="F20">
            <v>1</v>
          </cell>
          <cell r="G20">
            <v>28</v>
          </cell>
          <cell r="H20">
            <v>0</v>
          </cell>
          <cell r="I20">
            <v>1631</v>
          </cell>
          <cell r="J20">
            <v>0.68200000000000005</v>
          </cell>
          <cell r="K20">
            <v>1.0760000000000001</v>
          </cell>
        </row>
        <row r="21">
          <cell r="A21" t="str">
            <v>OAS1_0033_MR1</v>
          </cell>
          <cell r="B21" t="str">
            <v>F</v>
          </cell>
          <cell r="C21" t="str">
            <v>R</v>
          </cell>
          <cell r="D21">
            <v>80</v>
          </cell>
          <cell r="E21">
            <v>4</v>
          </cell>
          <cell r="F21">
            <v>2</v>
          </cell>
          <cell r="G21">
            <v>29</v>
          </cell>
          <cell r="H21">
            <v>0</v>
          </cell>
          <cell r="I21">
            <v>1323</v>
          </cell>
          <cell r="J21">
            <v>0.73499999999999999</v>
          </cell>
          <cell r="K21">
            <v>1.3260000000000001</v>
          </cell>
        </row>
        <row r="22">
          <cell r="A22" t="str">
            <v>OAS1_0034_MR1</v>
          </cell>
          <cell r="B22" t="str">
            <v>M</v>
          </cell>
          <cell r="C22" t="str">
            <v>R</v>
          </cell>
          <cell r="D22">
            <v>51</v>
          </cell>
          <cell r="E22">
            <v>5</v>
          </cell>
          <cell r="F22">
            <v>1</v>
          </cell>
          <cell r="G22">
            <v>29</v>
          </cell>
          <cell r="H22">
            <v>0</v>
          </cell>
          <cell r="I22">
            <v>1538</v>
          </cell>
          <cell r="J22">
            <v>0.83099999999999996</v>
          </cell>
          <cell r="K22">
            <v>1.141</v>
          </cell>
        </row>
        <row r="23">
          <cell r="A23" t="str">
            <v>OAS1_0035_MR1</v>
          </cell>
          <cell r="B23" t="str">
            <v>F</v>
          </cell>
          <cell r="C23" t="str">
            <v>R</v>
          </cell>
          <cell r="D23">
            <v>84</v>
          </cell>
          <cell r="E23">
            <v>3</v>
          </cell>
          <cell r="F23">
            <v>2</v>
          </cell>
          <cell r="G23">
            <v>28</v>
          </cell>
          <cell r="H23">
            <v>1</v>
          </cell>
          <cell r="I23">
            <v>1402</v>
          </cell>
          <cell r="J23">
            <v>0.69499999999999995</v>
          </cell>
          <cell r="K23">
            <v>1.252</v>
          </cell>
        </row>
        <row r="24">
          <cell r="A24" t="str">
            <v>OAS1_0039_MR1</v>
          </cell>
          <cell r="B24" t="str">
            <v>M</v>
          </cell>
          <cell r="C24" t="str">
            <v>R</v>
          </cell>
          <cell r="D24">
            <v>70</v>
          </cell>
          <cell r="E24">
            <v>4</v>
          </cell>
          <cell r="F24">
            <v>3</v>
          </cell>
          <cell r="G24">
            <v>29</v>
          </cell>
          <cell r="H24">
            <v>0.5</v>
          </cell>
          <cell r="I24">
            <v>1463</v>
          </cell>
          <cell r="J24">
            <v>0.77200000000000002</v>
          </cell>
          <cell r="K24">
            <v>1.2</v>
          </cell>
        </row>
        <row r="25">
          <cell r="A25" t="str">
            <v>OAS1_0041_MR1</v>
          </cell>
          <cell r="B25" t="str">
            <v>F</v>
          </cell>
          <cell r="C25" t="str">
            <v>R</v>
          </cell>
          <cell r="D25">
            <v>62</v>
          </cell>
          <cell r="E25">
            <v>2</v>
          </cell>
          <cell r="G25">
            <v>28</v>
          </cell>
          <cell r="H25">
            <v>0.5</v>
          </cell>
          <cell r="I25">
            <v>1350</v>
          </cell>
          <cell r="J25">
            <v>0.75800000000000001</v>
          </cell>
          <cell r="K25">
            <v>1.3</v>
          </cell>
        </row>
        <row r="26">
          <cell r="A26" t="str">
            <v>OAS1_0042_MR1</v>
          </cell>
          <cell r="B26" t="str">
            <v>M</v>
          </cell>
          <cell r="C26" t="str">
            <v>R</v>
          </cell>
          <cell r="D26">
            <v>80</v>
          </cell>
          <cell r="E26">
            <v>4</v>
          </cell>
          <cell r="F26">
            <v>2</v>
          </cell>
          <cell r="G26">
            <v>29</v>
          </cell>
          <cell r="H26">
            <v>0.5</v>
          </cell>
          <cell r="I26">
            <v>1854</v>
          </cell>
          <cell r="J26">
            <v>0.70899999999999996</v>
          </cell>
          <cell r="K26">
            <v>0.94699999999999995</v>
          </cell>
        </row>
        <row r="27">
          <cell r="A27" t="str">
            <v>OAS1_0044_MR1</v>
          </cell>
          <cell r="B27" t="str">
            <v>F</v>
          </cell>
          <cell r="C27" t="str">
            <v>R</v>
          </cell>
          <cell r="D27">
            <v>47</v>
          </cell>
          <cell r="E27">
            <v>4</v>
          </cell>
          <cell r="F27">
            <v>2</v>
          </cell>
          <cell r="G27">
            <v>30</v>
          </cell>
          <cell r="H27">
            <v>0</v>
          </cell>
          <cell r="I27">
            <v>1346</v>
          </cell>
          <cell r="J27">
            <v>0.82899999999999996</v>
          </cell>
          <cell r="K27">
            <v>1.304</v>
          </cell>
        </row>
        <row r="28">
          <cell r="A28" t="str">
            <v>OAS1_0046_MR1</v>
          </cell>
          <cell r="B28" t="str">
            <v>M</v>
          </cell>
          <cell r="C28" t="str">
            <v>R</v>
          </cell>
          <cell r="D28">
            <v>64</v>
          </cell>
          <cell r="E28">
            <v>2</v>
          </cell>
          <cell r="G28">
            <v>22</v>
          </cell>
          <cell r="H28">
            <v>0.5</v>
          </cell>
          <cell r="I28">
            <v>1351</v>
          </cell>
          <cell r="J28">
            <v>0.78700000000000003</v>
          </cell>
          <cell r="K28">
            <v>1.2989999999999999</v>
          </cell>
        </row>
        <row r="29">
          <cell r="A29" t="str">
            <v>OAS1_0052_MR1</v>
          </cell>
          <cell r="B29" t="str">
            <v>F</v>
          </cell>
          <cell r="C29" t="str">
            <v>R</v>
          </cell>
          <cell r="D29">
            <v>78</v>
          </cell>
          <cell r="E29">
            <v>1</v>
          </cell>
          <cell r="F29">
            <v>5</v>
          </cell>
          <cell r="G29">
            <v>23</v>
          </cell>
          <cell r="H29">
            <v>1</v>
          </cell>
          <cell r="I29">
            <v>1462</v>
          </cell>
          <cell r="J29">
            <v>0.69699999999999995</v>
          </cell>
          <cell r="K29">
            <v>1.2</v>
          </cell>
        </row>
        <row r="30">
          <cell r="A30" t="str">
            <v>OAS1_0053_MR1</v>
          </cell>
          <cell r="B30" t="str">
            <v>F</v>
          </cell>
          <cell r="C30" t="str">
            <v>R</v>
          </cell>
          <cell r="D30">
            <v>83</v>
          </cell>
          <cell r="E30">
            <v>1</v>
          </cell>
          <cell r="F30">
            <v>4</v>
          </cell>
          <cell r="G30">
            <v>21</v>
          </cell>
          <cell r="H30">
            <v>1</v>
          </cell>
          <cell r="I30">
            <v>1384</v>
          </cell>
          <cell r="J30">
            <v>0.69899999999999995</v>
          </cell>
          <cell r="K30">
            <v>1.268</v>
          </cell>
        </row>
        <row r="31">
          <cell r="A31" t="str">
            <v>OAS1_0056_MR1</v>
          </cell>
          <cell r="B31" t="str">
            <v>F</v>
          </cell>
          <cell r="C31" t="str">
            <v>R</v>
          </cell>
          <cell r="D31">
            <v>72</v>
          </cell>
          <cell r="E31">
            <v>3</v>
          </cell>
          <cell r="F31">
            <v>3</v>
          </cell>
          <cell r="G31">
            <v>15</v>
          </cell>
          <cell r="H31">
            <v>1</v>
          </cell>
          <cell r="I31">
            <v>1324</v>
          </cell>
          <cell r="J31">
            <v>0.66800000000000004</v>
          </cell>
          <cell r="K31">
            <v>1.325</v>
          </cell>
        </row>
        <row r="32">
          <cell r="A32" t="str">
            <v>OAS1_0058_MR1</v>
          </cell>
          <cell r="B32" t="str">
            <v>F</v>
          </cell>
          <cell r="C32" t="str">
            <v>R</v>
          </cell>
          <cell r="D32">
            <v>46</v>
          </cell>
          <cell r="E32">
            <v>5</v>
          </cell>
          <cell r="F32">
            <v>1</v>
          </cell>
          <cell r="G32">
            <v>30</v>
          </cell>
          <cell r="H32">
            <v>0</v>
          </cell>
          <cell r="I32">
            <v>1585</v>
          </cell>
          <cell r="J32">
            <v>0.81699999999999995</v>
          </cell>
          <cell r="K32">
            <v>1.107</v>
          </cell>
        </row>
        <row r="33">
          <cell r="A33" t="str">
            <v>OAS1_0060_MR1</v>
          </cell>
          <cell r="B33" t="str">
            <v>M</v>
          </cell>
          <cell r="C33" t="str">
            <v>R</v>
          </cell>
          <cell r="D33">
            <v>79</v>
          </cell>
          <cell r="E33">
            <v>4</v>
          </cell>
          <cell r="G33">
            <v>29</v>
          </cell>
          <cell r="H33">
            <v>0.5</v>
          </cell>
          <cell r="I33">
            <v>1564</v>
          </cell>
          <cell r="J33">
            <v>0.73399999999999999</v>
          </cell>
          <cell r="K33">
            <v>1.1220000000000001</v>
          </cell>
        </row>
        <row r="34">
          <cell r="A34" t="str">
            <v>OAS1_0062_MR1</v>
          </cell>
          <cell r="B34" t="str">
            <v>F</v>
          </cell>
          <cell r="C34" t="str">
            <v>R</v>
          </cell>
          <cell r="D34">
            <v>73</v>
          </cell>
          <cell r="E34">
            <v>3</v>
          </cell>
          <cell r="F34">
            <v>2</v>
          </cell>
          <cell r="G34">
            <v>30</v>
          </cell>
          <cell r="H34">
            <v>0</v>
          </cell>
          <cell r="I34">
            <v>1456</v>
          </cell>
          <cell r="J34">
            <v>0.754</v>
          </cell>
          <cell r="K34">
            <v>1.2050000000000001</v>
          </cell>
        </row>
        <row r="35">
          <cell r="A35" t="str">
            <v>OAS1_0064_MR1</v>
          </cell>
          <cell r="B35" t="str">
            <v>F</v>
          </cell>
          <cell r="C35" t="str">
            <v>R</v>
          </cell>
          <cell r="D35">
            <v>77</v>
          </cell>
          <cell r="E35">
            <v>1</v>
          </cell>
          <cell r="F35">
            <v>4</v>
          </cell>
          <cell r="G35">
            <v>29</v>
          </cell>
          <cell r="H35">
            <v>0</v>
          </cell>
          <cell r="I35">
            <v>1583</v>
          </cell>
          <cell r="J35">
            <v>0.76700000000000002</v>
          </cell>
          <cell r="K35">
            <v>1.1080000000000001</v>
          </cell>
        </row>
        <row r="36">
          <cell r="A36" t="str">
            <v>OAS1_0065_MR1</v>
          </cell>
          <cell r="B36" t="str">
            <v>M</v>
          </cell>
          <cell r="C36" t="str">
            <v>R</v>
          </cell>
          <cell r="D36">
            <v>90</v>
          </cell>
          <cell r="E36">
            <v>2</v>
          </cell>
          <cell r="F36">
            <v>3</v>
          </cell>
          <cell r="G36">
            <v>25</v>
          </cell>
          <cell r="H36">
            <v>0</v>
          </cell>
          <cell r="I36">
            <v>1301</v>
          </cell>
          <cell r="J36">
            <v>0.64500000000000002</v>
          </cell>
          <cell r="K36">
            <v>1.349</v>
          </cell>
        </row>
        <row r="37">
          <cell r="A37" t="str">
            <v>OAS1_0066_MR1</v>
          </cell>
          <cell r="B37" t="str">
            <v>F</v>
          </cell>
          <cell r="C37" t="str">
            <v>R</v>
          </cell>
          <cell r="D37">
            <v>66</v>
          </cell>
          <cell r="E37">
            <v>1</v>
          </cell>
          <cell r="F37">
            <v>4</v>
          </cell>
          <cell r="G37">
            <v>28</v>
          </cell>
          <cell r="H37">
            <v>0.5</v>
          </cell>
          <cell r="I37">
            <v>1309</v>
          </cell>
          <cell r="J37">
            <v>0.76500000000000001</v>
          </cell>
          <cell r="K37">
            <v>1.341</v>
          </cell>
        </row>
        <row r="38">
          <cell r="A38" t="str">
            <v>OAS1_0067_MR1</v>
          </cell>
          <cell r="B38" t="str">
            <v>F</v>
          </cell>
          <cell r="C38" t="str">
            <v>R</v>
          </cell>
          <cell r="D38">
            <v>71</v>
          </cell>
          <cell r="E38">
            <v>4</v>
          </cell>
          <cell r="F38">
            <v>1</v>
          </cell>
          <cell r="G38">
            <v>27</v>
          </cell>
          <cell r="H38">
            <v>1</v>
          </cell>
          <cell r="I38">
            <v>1549</v>
          </cell>
          <cell r="J38">
            <v>0.73</v>
          </cell>
          <cell r="K38">
            <v>1.133</v>
          </cell>
        </row>
        <row r="39">
          <cell r="A39" t="str">
            <v>OAS1_0068_MR1</v>
          </cell>
          <cell r="B39" t="str">
            <v>F</v>
          </cell>
          <cell r="C39" t="str">
            <v>R</v>
          </cell>
          <cell r="D39">
            <v>67</v>
          </cell>
          <cell r="E39">
            <v>3</v>
          </cell>
          <cell r="F39">
            <v>4</v>
          </cell>
          <cell r="G39">
            <v>30</v>
          </cell>
          <cell r="H39">
            <v>0</v>
          </cell>
          <cell r="I39">
            <v>1508</v>
          </cell>
          <cell r="J39">
            <v>0.80500000000000005</v>
          </cell>
          <cell r="K39">
            <v>1.1639999999999999</v>
          </cell>
        </row>
        <row r="40">
          <cell r="A40" t="str">
            <v>OAS1_0069_MR1</v>
          </cell>
          <cell r="B40" t="str">
            <v>M</v>
          </cell>
          <cell r="C40" t="str">
            <v>R</v>
          </cell>
          <cell r="D40">
            <v>33</v>
          </cell>
          <cell r="E40">
            <v>4</v>
          </cell>
          <cell r="F40">
            <v>1</v>
          </cell>
          <cell r="G40">
            <v>30</v>
          </cell>
          <cell r="H40">
            <v>0</v>
          </cell>
          <cell r="I40">
            <v>1709</v>
          </cell>
          <cell r="J40">
            <v>0.78400000000000003</v>
          </cell>
          <cell r="K40">
            <v>1.0269999999999999</v>
          </cell>
        </row>
        <row r="41">
          <cell r="A41" t="str">
            <v>OAS1_0070_MR1</v>
          </cell>
          <cell r="B41" t="str">
            <v>F</v>
          </cell>
          <cell r="C41" t="str">
            <v>R</v>
          </cell>
          <cell r="D41">
            <v>63</v>
          </cell>
          <cell r="E41">
            <v>3</v>
          </cell>
          <cell r="F41">
            <v>2</v>
          </cell>
          <cell r="G41">
            <v>30</v>
          </cell>
          <cell r="H41">
            <v>0</v>
          </cell>
          <cell r="I41">
            <v>1327</v>
          </cell>
          <cell r="J41">
            <v>0.80100000000000005</v>
          </cell>
          <cell r="K41">
            <v>1.323</v>
          </cell>
        </row>
        <row r="42">
          <cell r="A42" t="str">
            <v>OAS1_0071_MR1</v>
          </cell>
          <cell r="B42" t="str">
            <v>F</v>
          </cell>
          <cell r="C42" t="str">
            <v>R</v>
          </cell>
          <cell r="D42">
            <v>49</v>
          </cell>
          <cell r="E42">
            <v>5</v>
          </cell>
          <cell r="F42">
            <v>1</v>
          </cell>
          <cell r="G42">
            <v>30</v>
          </cell>
          <cell r="H42">
            <v>0</v>
          </cell>
          <cell r="I42">
            <v>1459</v>
          </cell>
          <cell r="J42">
            <v>0.80800000000000005</v>
          </cell>
          <cell r="K42">
            <v>1.2030000000000001</v>
          </cell>
        </row>
        <row r="43">
          <cell r="A43" t="str">
            <v>OAS1_0072_MR1</v>
          </cell>
          <cell r="B43" t="str">
            <v>F</v>
          </cell>
          <cell r="C43" t="str">
            <v>R</v>
          </cell>
          <cell r="D43">
            <v>60</v>
          </cell>
          <cell r="E43">
            <v>5</v>
          </cell>
          <cell r="F43">
            <v>1</v>
          </cell>
          <cell r="G43">
            <v>30</v>
          </cell>
          <cell r="H43">
            <v>0</v>
          </cell>
          <cell r="I43">
            <v>1402</v>
          </cell>
          <cell r="J43">
            <v>0.82299999999999995</v>
          </cell>
          <cell r="K43">
            <v>1.252</v>
          </cell>
        </row>
        <row r="44">
          <cell r="A44" t="str">
            <v>OAS1_0073_MR1</v>
          </cell>
          <cell r="B44" t="str">
            <v>F</v>
          </cell>
          <cell r="C44" t="str">
            <v>R</v>
          </cell>
          <cell r="D44">
            <v>69</v>
          </cell>
          <cell r="E44">
            <v>2</v>
          </cell>
          <cell r="F44">
            <v>4</v>
          </cell>
          <cell r="G44">
            <v>21</v>
          </cell>
          <cell r="H44">
            <v>1</v>
          </cell>
          <cell r="I44">
            <v>1495</v>
          </cell>
          <cell r="J44">
            <v>0.65500000000000003</v>
          </cell>
          <cell r="K44">
            <v>1.1739999999999999</v>
          </cell>
        </row>
        <row r="45">
          <cell r="A45" t="str">
            <v>OAS1_0074_MR1</v>
          </cell>
          <cell r="B45" t="str">
            <v>M</v>
          </cell>
          <cell r="C45" t="str">
            <v>R</v>
          </cell>
          <cell r="D45">
            <v>43</v>
          </cell>
          <cell r="E45">
            <v>4</v>
          </cell>
          <cell r="G45">
            <v>30</v>
          </cell>
          <cell r="H45">
            <v>0</v>
          </cell>
          <cell r="I45">
            <v>1547</v>
          </cell>
          <cell r="J45">
            <v>0.84699999999999998</v>
          </cell>
          <cell r="K45">
            <v>1.1339999999999999</v>
          </cell>
        </row>
        <row r="46">
          <cell r="A46" t="str">
            <v>OAS1_0075_MR1</v>
          </cell>
          <cell r="B46" t="str">
            <v>F</v>
          </cell>
          <cell r="C46" t="str">
            <v>R</v>
          </cell>
          <cell r="D46">
            <v>83</v>
          </cell>
          <cell r="E46">
            <v>3</v>
          </cell>
          <cell r="F46">
            <v>2</v>
          </cell>
          <cell r="G46">
            <v>30</v>
          </cell>
          <cell r="H46">
            <v>0</v>
          </cell>
          <cell r="I46">
            <v>1335</v>
          </cell>
          <cell r="J46">
            <v>0.72</v>
          </cell>
          <cell r="K46">
            <v>1.3140000000000001</v>
          </cell>
        </row>
        <row r="47">
          <cell r="A47" t="str">
            <v>OAS1_0078_MR1</v>
          </cell>
          <cell r="B47" t="str">
            <v>F</v>
          </cell>
          <cell r="C47" t="str">
            <v>R</v>
          </cell>
          <cell r="D47">
            <v>64</v>
          </cell>
          <cell r="E47">
            <v>3</v>
          </cell>
          <cell r="F47">
            <v>2</v>
          </cell>
          <cell r="G47">
            <v>30</v>
          </cell>
          <cell r="H47">
            <v>0</v>
          </cell>
          <cell r="I47">
            <v>1395</v>
          </cell>
          <cell r="J47">
            <v>0.80900000000000005</v>
          </cell>
          <cell r="K47">
            <v>1.258</v>
          </cell>
        </row>
        <row r="48">
          <cell r="A48" t="str">
            <v>OAS1_0082_MR1</v>
          </cell>
          <cell r="B48" t="str">
            <v>F</v>
          </cell>
          <cell r="C48" t="str">
            <v>R</v>
          </cell>
          <cell r="D48">
            <v>75</v>
          </cell>
          <cell r="E48">
            <v>2</v>
          </cell>
          <cell r="F48">
            <v>3</v>
          </cell>
          <cell r="G48">
            <v>28</v>
          </cell>
          <cell r="H48">
            <v>0.5</v>
          </cell>
          <cell r="I48">
            <v>1407</v>
          </cell>
          <cell r="J48">
            <v>0.77600000000000002</v>
          </cell>
          <cell r="K48">
            <v>1.2470000000000001</v>
          </cell>
        </row>
        <row r="49">
          <cell r="A49" t="str">
            <v>OAS1_0083_MR1</v>
          </cell>
          <cell r="B49" t="str">
            <v>F</v>
          </cell>
          <cell r="C49" t="str">
            <v>R</v>
          </cell>
          <cell r="D49">
            <v>90</v>
          </cell>
          <cell r="E49">
            <v>5</v>
          </cell>
          <cell r="F49">
            <v>3</v>
          </cell>
          <cell r="G49">
            <v>27</v>
          </cell>
          <cell r="H49">
            <v>0</v>
          </cell>
          <cell r="I49">
            <v>1200</v>
          </cell>
          <cell r="J49">
            <v>0.72699999999999998</v>
          </cell>
          <cell r="K49">
            <v>1.462</v>
          </cell>
        </row>
        <row r="50">
          <cell r="A50" t="str">
            <v>OAS1_0084_MR1</v>
          </cell>
          <cell r="B50" t="str">
            <v>F</v>
          </cell>
          <cell r="C50" t="str">
            <v>R</v>
          </cell>
          <cell r="D50">
            <v>81</v>
          </cell>
          <cell r="E50">
            <v>2</v>
          </cell>
          <cell r="G50">
            <v>27</v>
          </cell>
          <cell r="H50">
            <v>0.5</v>
          </cell>
          <cell r="I50">
            <v>1453</v>
          </cell>
          <cell r="J50">
            <v>0.72699999999999998</v>
          </cell>
          <cell r="K50">
            <v>1.208</v>
          </cell>
        </row>
        <row r="51">
          <cell r="A51" t="str">
            <v>OAS1_0085_MR1</v>
          </cell>
          <cell r="B51" t="str">
            <v>F</v>
          </cell>
          <cell r="C51" t="str">
            <v>R</v>
          </cell>
          <cell r="D51">
            <v>70</v>
          </cell>
          <cell r="E51">
            <v>2</v>
          </cell>
          <cell r="F51">
            <v>3</v>
          </cell>
          <cell r="G51">
            <v>29</v>
          </cell>
          <cell r="H51">
            <v>0</v>
          </cell>
          <cell r="I51">
            <v>1283</v>
          </cell>
          <cell r="J51">
            <v>0.79100000000000004</v>
          </cell>
          <cell r="K51">
            <v>1.3680000000000001</v>
          </cell>
        </row>
        <row r="52">
          <cell r="A52" t="str">
            <v>OAS1_0086_MR1</v>
          </cell>
          <cell r="B52" t="str">
            <v>F</v>
          </cell>
          <cell r="C52" t="str">
            <v>R</v>
          </cell>
          <cell r="D52">
            <v>47</v>
          </cell>
          <cell r="E52">
            <v>4</v>
          </cell>
          <cell r="F52">
            <v>1</v>
          </cell>
          <cell r="G52">
            <v>30</v>
          </cell>
          <cell r="H52">
            <v>0</v>
          </cell>
          <cell r="I52">
            <v>1311</v>
          </cell>
          <cell r="J52">
            <v>0.83499999999999996</v>
          </cell>
          <cell r="K52">
            <v>1.339</v>
          </cell>
        </row>
        <row r="53">
          <cell r="A53" t="str">
            <v>OAS1_0094_MR1</v>
          </cell>
          <cell r="B53" t="str">
            <v>F</v>
          </cell>
          <cell r="C53" t="str">
            <v>R</v>
          </cell>
          <cell r="D53">
            <v>66</v>
          </cell>
          <cell r="E53">
            <v>2</v>
          </cell>
          <cell r="F53">
            <v>3</v>
          </cell>
          <cell r="G53">
            <v>30</v>
          </cell>
          <cell r="H53">
            <v>0.5</v>
          </cell>
          <cell r="I53">
            <v>1447</v>
          </cell>
          <cell r="J53">
            <v>0.77200000000000002</v>
          </cell>
          <cell r="K53">
            <v>1.2130000000000001</v>
          </cell>
        </row>
        <row r="54">
          <cell r="A54" t="str">
            <v>OAS1_0096_MR1</v>
          </cell>
          <cell r="B54" t="str">
            <v>F</v>
          </cell>
          <cell r="C54" t="str">
            <v>R</v>
          </cell>
          <cell r="D54">
            <v>47</v>
          </cell>
          <cell r="E54">
            <v>5</v>
          </cell>
          <cell r="F54">
            <v>2</v>
          </cell>
          <cell r="G54">
            <v>29</v>
          </cell>
          <cell r="H54">
            <v>0</v>
          </cell>
          <cell r="I54">
            <v>1357</v>
          </cell>
          <cell r="J54">
            <v>0.80900000000000005</v>
          </cell>
          <cell r="K54">
            <v>1.294</v>
          </cell>
        </row>
        <row r="55">
          <cell r="A55" t="str">
            <v>OAS1_0098_MR1</v>
          </cell>
          <cell r="B55" t="str">
            <v>F</v>
          </cell>
          <cell r="C55" t="str">
            <v>R</v>
          </cell>
          <cell r="D55">
            <v>67</v>
          </cell>
          <cell r="E55">
            <v>2</v>
          </cell>
          <cell r="G55">
            <v>18</v>
          </cell>
          <cell r="H55">
            <v>0.5</v>
          </cell>
          <cell r="I55">
            <v>1653</v>
          </cell>
          <cell r="J55">
            <v>0.69299999999999995</v>
          </cell>
          <cell r="K55">
            <v>1.0620000000000001</v>
          </cell>
        </row>
        <row r="56">
          <cell r="A56" t="str">
            <v>OAS1_0106_MR1</v>
          </cell>
          <cell r="B56" t="str">
            <v>F</v>
          </cell>
          <cell r="C56" t="str">
            <v>R</v>
          </cell>
          <cell r="D56">
            <v>81</v>
          </cell>
          <cell r="E56">
            <v>2</v>
          </cell>
          <cell r="F56">
            <v>4</v>
          </cell>
          <cell r="G56">
            <v>30</v>
          </cell>
          <cell r="H56">
            <v>0</v>
          </cell>
          <cell r="I56">
            <v>1230</v>
          </cell>
          <cell r="J56">
            <v>0.71699999999999997</v>
          </cell>
          <cell r="K56">
            <v>1.427</v>
          </cell>
        </row>
        <row r="57">
          <cell r="A57" t="str">
            <v>OAS1_0109_MR1</v>
          </cell>
          <cell r="B57" t="str">
            <v>F</v>
          </cell>
          <cell r="C57" t="str">
            <v>R</v>
          </cell>
          <cell r="D57">
            <v>61</v>
          </cell>
          <cell r="E57">
            <v>4</v>
          </cell>
          <cell r="F57">
            <v>3</v>
          </cell>
          <cell r="G57">
            <v>30</v>
          </cell>
          <cell r="H57">
            <v>0</v>
          </cell>
          <cell r="I57">
            <v>1313</v>
          </cell>
          <cell r="J57">
            <v>0.81299999999999994</v>
          </cell>
          <cell r="K57">
            <v>1.337</v>
          </cell>
        </row>
        <row r="58">
          <cell r="A58" t="str">
            <v>OAS1_0110_MR1</v>
          </cell>
          <cell r="B58" t="str">
            <v>M</v>
          </cell>
          <cell r="C58" t="str">
            <v>R</v>
          </cell>
          <cell r="D58">
            <v>84</v>
          </cell>
          <cell r="E58">
            <v>3</v>
          </cell>
          <cell r="F58">
            <v>4</v>
          </cell>
          <cell r="G58">
            <v>28</v>
          </cell>
          <cell r="H58">
            <v>0</v>
          </cell>
          <cell r="I58">
            <v>1483</v>
          </cell>
          <cell r="J58">
            <v>0.69699999999999995</v>
          </cell>
          <cell r="K58">
            <v>1.1830000000000001</v>
          </cell>
        </row>
        <row r="59">
          <cell r="A59" t="str">
            <v>OAS1_0112_MR1</v>
          </cell>
          <cell r="B59" t="str">
            <v>F</v>
          </cell>
          <cell r="C59" t="str">
            <v>R</v>
          </cell>
          <cell r="D59">
            <v>69</v>
          </cell>
          <cell r="E59">
            <v>5</v>
          </cell>
          <cell r="F59">
            <v>2</v>
          </cell>
          <cell r="G59">
            <v>29</v>
          </cell>
          <cell r="H59">
            <v>0</v>
          </cell>
          <cell r="I59">
            <v>1536</v>
          </cell>
          <cell r="J59">
            <v>0.73299999999999998</v>
          </cell>
          <cell r="K59">
            <v>1.143</v>
          </cell>
        </row>
        <row r="60">
          <cell r="A60" t="str">
            <v>OAS1_0113_MR1</v>
          </cell>
          <cell r="B60" t="str">
            <v>F</v>
          </cell>
          <cell r="C60" t="str">
            <v>R</v>
          </cell>
          <cell r="D60">
            <v>83</v>
          </cell>
          <cell r="E60">
            <v>2</v>
          </cell>
          <cell r="F60">
            <v>2</v>
          </cell>
          <cell r="G60">
            <v>29</v>
          </cell>
          <cell r="H60">
            <v>0</v>
          </cell>
          <cell r="I60">
            <v>1569</v>
          </cell>
          <cell r="J60">
            <v>0.76800000000000002</v>
          </cell>
          <cell r="K60">
            <v>1.1180000000000001</v>
          </cell>
        </row>
        <row r="61">
          <cell r="A61" t="str">
            <v>OAS1_0114_MR1</v>
          </cell>
          <cell r="B61" t="str">
            <v>M</v>
          </cell>
          <cell r="C61" t="str">
            <v>R</v>
          </cell>
          <cell r="D61">
            <v>62</v>
          </cell>
          <cell r="E61">
            <v>2</v>
          </cell>
          <cell r="F61">
            <v>4</v>
          </cell>
          <cell r="G61">
            <v>30</v>
          </cell>
          <cell r="H61">
            <v>0</v>
          </cell>
          <cell r="I61">
            <v>1378</v>
          </cell>
          <cell r="J61">
            <v>0.80400000000000005</v>
          </cell>
          <cell r="K61">
            <v>1.274</v>
          </cell>
        </row>
        <row r="62">
          <cell r="A62" t="str">
            <v>OAS1_0115_MR1</v>
          </cell>
          <cell r="B62" t="str">
            <v>M</v>
          </cell>
          <cell r="C62" t="str">
            <v>R</v>
          </cell>
          <cell r="D62">
            <v>72</v>
          </cell>
          <cell r="E62">
            <v>5</v>
          </cell>
          <cell r="F62">
            <v>1</v>
          </cell>
          <cell r="G62">
            <v>26</v>
          </cell>
          <cell r="H62">
            <v>0.5</v>
          </cell>
          <cell r="I62">
            <v>1911</v>
          </cell>
          <cell r="J62">
            <v>0.72599999999999998</v>
          </cell>
          <cell r="K62">
            <v>0.91900000000000004</v>
          </cell>
        </row>
        <row r="63">
          <cell r="A63" t="str">
            <v>OAS1_0116_MR1</v>
          </cell>
          <cell r="B63" t="str">
            <v>F</v>
          </cell>
          <cell r="C63" t="str">
            <v>R</v>
          </cell>
          <cell r="D63">
            <v>52</v>
          </cell>
          <cell r="E63">
            <v>5</v>
          </cell>
          <cell r="F63">
            <v>1</v>
          </cell>
          <cell r="G63">
            <v>30</v>
          </cell>
          <cell r="H63">
            <v>0</v>
          </cell>
          <cell r="I63">
            <v>1373</v>
          </cell>
          <cell r="J63">
            <v>0.78400000000000003</v>
          </cell>
          <cell r="K63">
            <v>1.2789999999999999</v>
          </cell>
        </row>
        <row r="64">
          <cell r="A64" t="str">
            <v>OAS1_0120_MR1</v>
          </cell>
          <cell r="B64" t="str">
            <v>M</v>
          </cell>
          <cell r="C64" t="str">
            <v>R</v>
          </cell>
          <cell r="D64">
            <v>70</v>
          </cell>
          <cell r="E64">
            <v>4</v>
          </cell>
          <cell r="F64">
            <v>4</v>
          </cell>
          <cell r="G64">
            <v>26</v>
          </cell>
          <cell r="H64">
            <v>0.5</v>
          </cell>
          <cell r="I64">
            <v>1796</v>
          </cell>
          <cell r="J64">
            <v>0.73599999999999999</v>
          </cell>
          <cell r="K64">
            <v>0.97699999999999998</v>
          </cell>
        </row>
        <row r="65">
          <cell r="A65" t="str">
            <v>OAS1_0122_MR1</v>
          </cell>
          <cell r="B65" t="str">
            <v>F</v>
          </cell>
          <cell r="C65" t="str">
            <v>R</v>
          </cell>
          <cell r="D65">
            <v>83</v>
          </cell>
          <cell r="E65">
            <v>5</v>
          </cell>
          <cell r="F65">
            <v>2</v>
          </cell>
          <cell r="G65">
            <v>22</v>
          </cell>
          <cell r="H65">
            <v>1</v>
          </cell>
          <cell r="I65">
            <v>1377</v>
          </cell>
          <cell r="J65">
            <v>0.71499999999999997</v>
          </cell>
          <cell r="K65">
            <v>1.274</v>
          </cell>
        </row>
        <row r="66">
          <cell r="A66" t="str">
            <v>OAS1_0123_MR1</v>
          </cell>
          <cell r="B66" t="str">
            <v>F</v>
          </cell>
          <cell r="C66" t="str">
            <v>R</v>
          </cell>
          <cell r="D66">
            <v>83</v>
          </cell>
          <cell r="E66">
            <v>3</v>
          </cell>
          <cell r="F66">
            <v>4</v>
          </cell>
          <cell r="G66">
            <v>24</v>
          </cell>
          <cell r="H66">
            <v>0.5</v>
          </cell>
          <cell r="I66">
            <v>1282</v>
          </cell>
          <cell r="J66">
            <v>0.79700000000000004</v>
          </cell>
          <cell r="K66">
            <v>1.369</v>
          </cell>
        </row>
        <row r="67">
          <cell r="A67" t="str">
            <v>OAS1_0124_MR1</v>
          </cell>
          <cell r="B67" t="str">
            <v>M</v>
          </cell>
          <cell r="C67" t="str">
            <v>R</v>
          </cell>
          <cell r="D67">
            <v>73</v>
          </cell>
          <cell r="E67">
            <v>2</v>
          </cell>
          <cell r="G67">
            <v>23</v>
          </cell>
          <cell r="H67">
            <v>0.5</v>
          </cell>
          <cell r="I67">
            <v>1661</v>
          </cell>
          <cell r="J67">
            <v>0.70899999999999996</v>
          </cell>
          <cell r="K67">
            <v>1.056</v>
          </cell>
        </row>
        <row r="68">
          <cell r="A68" t="str">
            <v>OAS1_0130_MR1</v>
          </cell>
          <cell r="B68" t="str">
            <v>M</v>
          </cell>
          <cell r="C68" t="str">
            <v>R</v>
          </cell>
          <cell r="D68">
            <v>68</v>
          </cell>
          <cell r="E68">
            <v>3</v>
          </cell>
          <cell r="F68">
            <v>3</v>
          </cell>
          <cell r="G68">
            <v>26</v>
          </cell>
          <cell r="H68">
            <v>0</v>
          </cell>
          <cell r="I68">
            <v>1444</v>
          </cell>
          <cell r="J68">
            <v>0.78900000000000003</v>
          </cell>
          <cell r="K68">
            <v>1.216</v>
          </cell>
        </row>
        <row r="69">
          <cell r="A69" t="str">
            <v>OAS1_0133_MR1</v>
          </cell>
          <cell r="B69" t="str">
            <v>F</v>
          </cell>
          <cell r="C69" t="str">
            <v>R</v>
          </cell>
          <cell r="D69">
            <v>65</v>
          </cell>
          <cell r="E69">
            <v>5</v>
          </cell>
          <cell r="F69">
            <v>2</v>
          </cell>
          <cell r="G69">
            <v>30</v>
          </cell>
          <cell r="H69">
            <v>0</v>
          </cell>
          <cell r="I69">
            <v>1277</v>
          </cell>
          <cell r="J69">
            <v>0.81399999999999995</v>
          </cell>
          <cell r="K69">
            <v>1.3740000000000001</v>
          </cell>
        </row>
        <row r="70">
          <cell r="A70" t="str">
            <v>OAS1_0134_MR1</v>
          </cell>
          <cell r="B70" t="str">
            <v>M</v>
          </cell>
          <cell r="C70" t="str">
            <v>R</v>
          </cell>
          <cell r="D70">
            <v>80</v>
          </cell>
          <cell r="E70">
            <v>2</v>
          </cell>
          <cell r="F70">
            <v>4</v>
          </cell>
          <cell r="G70">
            <v>20</v>
          </cell>
          <cell r="H70">
            <v>1</v>
          </cell>
          <cell r="I70">
            <v>1494</v>
          </cell>
          <cell r="J70">
            <v>0.66500000000000004</v>
          </cell>
          <cell r="K70">
            <v>1.175</v>
          </cell>
        </row>
        <row r="71">
          <cell r="A71" t="str">
            <v>OAS1_0135_MR1</v>
          </cell>
          <cell r="B71" t="str">
            <v>M</v>
          </cell>
          <cell r="C71" t="str">
            <v>R</v>
          </cell>
          <cell r="D71">
            <v>64</v>
          </cell>
          <cell r="E71">
            <v>2</v>
          </cell>
          <cell r="F71">
            <v>4</v>
          </cell>
          <cell r="G71">
            <v>29</v>
          </cell>
          <cell r="H71">
            <v>0</v>
          </cell>
          <cell r="I71">
            <v>1561</v>
          </cell>
          <cell r="J71">
            <v>0.80100000000000005</v>
          </cell>
          <cell r="K71">
            <v>1.1240000000000001</v>
          </cell>
        </row>
        <row r="72">
          <cell r="A72" t="str">
            <v>OAS1_0137_MR1</v>
          </cell>
          <cell r="B72" t="str">
            <v>F</v>
          </cell>
          <cell r="C72" t="str">
            <v>R</v>
          </cell>
          <cell r="D72">
            <v>87</v>
          </cell>
          <cell r="E72">
            <v>2</v>
          </cell>
          <cell r="F72">
            <v>3</v>
          </cell>
          <cell r="G72">
            <v>22</v>
          </cell>
          <cell r="H72">
            <v>1</v>
          </cell>
          <cell r="I72">
            <v>1499</v>
          </cell>
          <cell r="J72">
            <v>0.67200000000000004</v>
          </cell>
          <cell r="K72">
            <v>1.171</v>
          </cell>
        </row>
        <row r="73">
          <cell r="A73" t="str">
            <v>OAS1_0138_MR1</v>
          </cell>
          <cell r="B73" t="str">
            <v>M</v>
          </cell>
          <cell r="C73" t="str">
            <v>R</v>
          </cell>
          <cell r="D73">
            <v>80</v>
          </cell>
          <cell r="E73">
            <v>2</v>
          </cell>
          <cell r="F73">
            <v>4</v>
          </cell>
          <cell r="G73">
            <v>28</v>
          </cell>
          <cell r="H73">
            <v>0</v>
          </cell>
          <cell r="I73">
            <v>1689</v>
          </cell>
          <cell r="J73">
            <v>0.70599999999999996</v>
          </cell>
          <cell r="K73">
            <v>1.0389999999999999</v>
          </cell>
        </row>
        <row r="74">
          <cell r="A74" t="str">
            <v>OAS1_0139_MR1</v>
          </cell>
          <cell r="B74" t="str">
            <v>F</v>
          </cell>
          <cell r="C74" t="str">
            <v>R</v>
          </cell>
          <cell r="D74">
            <v>72</v>
          </cell>
          <cell r="E74">
            <v>3</v>
          </cell>
          <cell r="F74">
            <v>3</v>
          </cell>
          <cell r="G74">
            <v>28</v>
          </cell>
          <cell r="H74">
            <v>0</v>
          </cell>
          <cell r="I74">
            <v>1512</v>
          </cell>
          <cell r="J74">
            <v>0.77900000000000003</v>
          </cell>
          <cell r="K74">
            <v>1.161</v>
          </cell>
        </row>
        <row r="75">
          <cell r="A75" t="str">
            <v>OAS1_0142_MR1</v>
          </cell>
          <cell r="B75" t="str">
            <v>M</v>
          </cell>
          <cell r="C75" t="str">
            <v>R</v>
          </cell>
          <cell r="D75">
            <v>70</v>
          </cell>
          <cell r="E75">
            <v>4</v>
          </cell>
          <cell r="F75">
            <v>1</v>
          </cell>
          <cell r="G75">
            <v>27</v>
          </cell>
          <cell r="H75">
            <v>0.5</v>
          </cell>
          <cell r="I75">
            <v>1581</v>
          </cell>
          <cell r="J75">
            <v>0.69499999999999995</v>
          </cell>
          <cell r="K75">
            <v>1.1100000000000001</v>
          </cell>
        </row>
        <row r="76">
          <cell r="A76" t="str">
            <v>OAS1_0143_MR1</v>
          </cell>
          <cell r="B76" t="str">
            <v>M</v>
          </cell>
          <cell r="C76" t="str">
            <v>R</v>
          </cell>
          <cell r="D76">
            <v>66</v>
          </cell>
          <cell r="E76">
            <v>2</v>
          </cell>
          <cell r="F76">
            <v>4</v>
          </cell>
          <cell r="G76">
            <v>30</v>
          </cell>
          <cell r="H76">
            <v>0.5</v>
          </cell>
          <cell r="I76">
            <v>1446</v>
          </cell>
          <cell r="J76">
            <v>0.78400000000000003</v>
          </cell>
          <cell r="K76">
            <v>1.214</v>
          </cell>
        </row>
        <row r="77">
          <cell r="A77" t="str">
            <v>OAS1_0146_MR1</v>
          </cell>
          <cell r="B77" t="str">
            <v>F</v>
          </cell>
          <cell r="C77" t="str">
            <v>R</v>
          </cell>
          <cell r="D77">
            <v>82</v>
          </cell>
          <cell r="E77">
            <v>5</v>
          </cell>
          <cell r="F77">
            <v>1</v>
          </cell>
          <cell r="G77">
            <v>28</v>
          </cell>
          <cell r="H77">
            <v>0</v>
          </cell>
          <cell r="I77">
            <v>1513</v>
          </cell>
          <cell r="J77">
            <v>0.74199999999999999</v>
          </cell>
          <cell r="K77">
            <v>1.1599999999999999</v>
          </cell>
        </row>
        <row r="78">
          <cell r="A78" t="str">
            <v>OAS1_0155_MR1</v>
          </cell>
          <cell r="B78" t="str">
            <v>M</v>
          </cell>
          <cell r="C78" t="str">
            <v>R</v>
          </cell>
          <cell r="D78">
            <v>71</v>
          </cell>
          <cell r="E78">
            <v>4</v>
          </cell>
          <cell r="G78">
            <v>28</v>
          </cell>
          <cell r="H78">
            <v>0.5</v>
          </cell>
          <cell r="I78">
            <v>1359</v>
          </cell>
          <cell r="J78">
            <v>0.753</v>
          </cell>
          <cell r="K78">
            <v>1.2909999999999999</v>
          </cell>
        </row>
        <row r="79">
          <cell r="A79" t="str">
            <v>OAS1_0157_MR1</v>
          </cell>
          <cell r="B79" t="str">
            <v>F</v>
          </cell>
          <cell r="C79" t="str">
            <v>R</v>
          </cell>
          <cell r="D79">
            <v>86</v>
          </cell>
          <cell r="E79">
            <v>4</v>
          </cell>
          <cell r="F79">
            <v>3</v>
          </cell>
          <cell r="G79">
            <v>30</v>
          </cell>
          <cell r="H79">
            <v>0</v>
          </cell>
          <cell r="I79">
            <v>1293</v>
          </cell>
          <cell r="J79">
            <v>0.75600000000000001</v>
          </cell>
          <cell r="K79">
            <v>1.357</v>
          </cell>
        </row>
        <row r="80">
          <cell r="A80" t="str">
            <v>OAS1_0158_MR1</v>
          </cell>
          <cell r="B80" t="str">
            <v>M</v>
          </cell>
          <cell r="C80" t="str">
            <v>R</v>
          </cell>
          <cell r="D80">
            <v>81</v>
          </cell>
          <cell r="E80">
            <v>5</v>
          </cell>
          <cell r="F80">
            <v>1</v>
          </cell>
          <cell r="G80">
            <v>26</v>
          </cell>
          <cell r="H80">
            <v>0.5</v>
          </cell>
          <cell r="I80">
            <v>1556</v>
          </cell>
          <cell r="J80">
            <v>0.68899999999999995</v>
          </cell>
          <cell r="K80">
            <v>1.1279999999999999</v>
          </cell>
        </row>
        <row r="81">
          <cell r="A81" t="str">
            <v>OAS1_0161_MR1</v>
          </cell>
          <cell r="B81" t="str">
            <v>F</v>
          </cell>
          <cell r="C81" t="str">
            <v>R</v>
          </cell>
          <cell r="D81">
            <v>84</v>
          </cell>
          <cell r="E81">
            <v>2</v>
          </cell>
          <cell r="F81">
            <v>2</v>
          </cell>
          <cell r="G81">
            <v>27</v>
          </cell>
          <cell r="H81">
            <v>0.5</v>
          </cell>
          <cell r="I81">
            <v>1390</v>
          </cell>
          <cell r="J81">
            <v>0.72699999999999998</v>
          </cell>
          <cell r="K81">
            <v>1.2629999999999999</v>
          </cell>
        </row>
        <row r="82">
          <cell r="A82" t="str">
            <v>OAS1_0164_MR1</v>
          </cell>
          <cell r="B82" t="str">
            <v>F</v>
          </cell>
          <cell r="C82" t="str">
            <v>R</v>
          </cell>
          <cell r="D82">
            <v>81</v>
          </cell>
          <cell r="E82">
            <v>2</v>
          </cell>
          <cell r="F82">
            <v>3</v>
          </cell>
          <cell r="G82">
            <v>28</v>
          </cell>
          <cell r="H82">
            <v>0.5</v>
          </cell>
          <cell r="I82">
            <v>1495</v>
          </cell>
          <cell r="J82">
            <v>0.68700000000000006</v>
          </cell>
          <cell r="K82">
            <v>1.1739999999999999</v>
          </cell>
        </row>
        <row r="83">
          <cell r="A83" t="str">
            <v>OAS1_0165_MR1</v>
          </cell>
          <cell r="B83" t="str">
            <v>F</v>
          </cell>
          <cell r="C83" t="str">
            <v>R</v>
          </cell>
          <cell r="D83">
            <v>74</v>
          </cell>
          <cell r="E83">
            <v>2</v>
          </cell>
          <cell r="F83">
            <v>3</v>
          </cell>
          <cell r="G83">
            <v>29</v>
          </cell>
          <cell r="H83">
            <v>0</v>
          </cell>
          <cell r="I83">
            <v>1395</v>
          </cell>
          <cell r="J83">
            <v>0.78700000000000003</v>
          </cell>
          <cell r="K83">
            <v>1.258</v>
          </cell>
        </row>
        <row r="84">
          <cell r="A84" t="str">
            <v>OAS1_0166_MR1</v>
          </cell>
          <cell r="B84" t="str">
            <v>F</v>
          </cell>
          <cell r="C84" t="str">
            <v>R</v>
          </cell>
          <cell r="D84">
            <v>80</v>
          </cell>
          <cell r="E84">
            <v>2</v>
          </cell>
          <cell r="G84">
            <v>27</v>
          </cell>
          <cell r="H84">
            <v>0.5</v>
          </cell>
          <cell r="I84">
            <v>1475</v>
          </cell>
          <cell r="J84">
            <v>0.77100000000000002</v>
          </cell>
          <cell r="K84">
            <v>1.19</v>
          </cell>
        </row>
        <row r="85">
          <cell r="A85" t="str">
            <v>OAS1_0169_MR1</v>
          </cell>
          <cell r="B85" t="str">
            <v>F</v>
          </cell>
          <cell r="C85" t="str">
            <v>R</v>
          </cell>
          <cell r="D85">
            <v>88</v>
          </cell>
          <cell r="E85">
            <v>2</v>
          </cell>
          <cell r="F85">
            <v>3</v>
          </cell>
          <cell r="G85">
            <v>30</v>
          </cell>
          <cell r="H85">
            <v>0</v>
          </cell>
          <cell r="I85">
            <v>1445</v>
          </cell>
          <cell r="J85">
            <v>0.71799999999999997</v>
          </cell>
          <cell r="K85">
            <v>1.2150000000000001</v>
          </cell>
        </row>
        <row r="86">
          <cell r="A86" t="str">
            <v>OAS1_0170_MR1</v>
          </cell>
          <cell r="B86" t="str">
            <v>M</v>
          </cell>
          <cell r="C86" t="str">
            <v>R</v>
          </cell>
          <cell r="D86">
            <v>71</v>
          </cell>
          <cell r="E86">
            <v>2</v>
          </cell>
          <cell r="F86">
            <v>4</v>
          </cell>
          <cell r="G86">
            <v>29</v>
          </cell>
          <cell r="H86">
            <v>0</v>
          </cell>
          <cell r="I86">
            <v>1455</v>
          </cell>
          <cell r="J86">
            <v>0.72499999999999998</v>
          </cell>
          <cell r="K86">
            <v>1.206</v>
          </cell>
        </row>
        <row r="87">
          <cell r="A87" t="str">
            <v>OAS1_0176_MR1</v>
          </cell>
          <cell r="B87" t="str">
            <v>F</v>
          </cell>
          <cell r="C87" t="str">
            <v>R</v>
          </cell>
          <cell r="D87">
            <v>88</v>
          </cell>
          <cell r="E87">
            <v>3</v>
          </cell>
          <cell r="F87">
            <v>1</v>
          </cell>
          <cell r="G87">
            <v>29</v>
          </cell>
          <cell r="H87">
            <v>0</v>
          </cell>
          <cell r="I87">
            <v>1398</v>
          </cell>
          <cell r="J87">
            <v>0.71199999999999997</v>
          </cell>
          <cell r="K87">
            <v>1.2549999999999999</v>
          </cell>
        </row>
        <row r="88">
          <cell r="A88" t="str">
            <v>OAS1_0177_MR1</v>
          </cell>
          <cell r="B88" t="str">
            <v>F</v>
          </cell>
          <cell r="C88" t="str">
            <v>R</v>
          </cell>
          <cell r="D88">
            <v>54</v>
          </cell>
          <cell r="E88">
            <v>4</v>
          </cell>
          <cell r="F88">
            <v>1</v>
          </cell>
          <cell r="G88">
            <v>30</v>
          </cell>
          <cell r="H88">
            <v>0</v>
          </cell>
          <cell r="I88">
            <v>1494</v>
          </cell>
          <cell r="J88">
            <v>0.83799999999999997</v>
          </cell>
          <cell r="K88">
            <v>1.1739999999999999</v>
          </cell>
        </row>
        <row r="89">
          <cell r="A89" t="str">
            <v>OAS1_0179_MR1</v>
          </cell>
          <cell r="B89" t="str">
            <v>F</v>
          </cell>
          <cell r="C89" t="str">
            <v>R</v>
          </cell>
          <cell r="D89">
            <v>87</v>
          </cell>
          <cell r="E89">
            <v>2</v>
          </cell>
          <cell r="F89">
            <v>4</v>
          </cell>
          <cell r="G89">
            <v>21</v>
          </cell>
          <cell r="H89">
            <v>0.5</v>
          </cell>
          <cell r="I89">
            <v>1250</v>
          </cell>
          <cell r="J89">
            <v>0.65300000000000002</v>
          </cell>
          <cell r="K89">
            <v>1.405</v>
          </cell>
        </row>
        <row r="90">
          <cell r="A90" t="str">
            <v>OAS1_0180_MR1</v>
          </cell>
          <cell r="B90" t="str">
            <v>F</v>
          </cell>
          <cell r="C90" t="str">
            <v>R</v>
          </cell>
          <cell r="D90">
            <v>80</v>
          </cell>
          <cell r="E90">
            <v>4</v>
          </cell>
          <cell r="F90">
            <v>2</v>
          </cell>
          <cell r="G90">
            <v>30</v>
          </cell>
          <cell r="H90">
            <v>0</v>
          </cell>
          <cell r="I90">
            <v>1496</v>
          </cell>
          <cell r="J90">
            <v>0.745</v>
          </cell>
          <cell r="K90">
            <v>1.173</v>
          </cell>
        </row>
        <row r="91">
          <cell r="A91" t="str">
            <v>OAS1_0181_MR1</v>
          </cell>
          <cell r="B91" t="str">
            <v>F</v>
          </cell>
          <cell r="C91" t="str">
            <v>R</v>
          </cell>
          <cell r="D91">
            <v>49</v>
          </cell>
          <cell r="E91">
            <v>4</v>
          </cell>
          <cell r="F91">
            <v>2</v>
          </cell>
          <cell r="G91">
            <v>30</v>
          </cell>
          <cell r="H91">
            <v>0</v>
          </cell>
          <cell r="I91">
            <v>1316</v>
          </cell>
          <cell r="J91">
            <v>0.82</v>
          </cell>
          <cell r="K91">
            <v>1.3340000000000001</v>
          </cell>
        </row>
        <row r="92">
          <cell r="A92" t="str">
            <v>OAS1_0184_MR1</v>
          </cell>
          <cell r="B92" t="str">
            <v>F</v>
          </cell>
          <cell r="C92" t="str">
            <v>R</v>
          </cell>
          <cell r="D92">
            <v>65</v>
          </cell>
          <cell r="E92">
            <v>2</v>
          </cell>
          <cell r="G92">
            <v>16</v>
          </cell>
          <cell r="H92">
            <v>1</v>
          </cell>
          <cell r="I92">
            <v>1521</v>
          </cell>
          <cell r="J92">
            <v>0.66900000000000004</v>
          </cell>
          <cell r="K92">
            <v>1.1539999999999999</v>
          </cell>
        </row>
        <row r="93">
          <cell r="A93" t="str">
            <v>OAS1_0185_MR1</v>
          </cell>
          <cell r="B93" t="str">
            <v>F</v>
          </cell>
          <cell r="C93" t="str">
            <v>R</v>
          </cell>
          <cell r="D93">
            <v>78</v>
          </cell>
          <cell r="E93">
            <v>2</v>
          </cell>
          <cell r="F93">
            <v>4</v>
          </cell>
          <cell r="G93">
            <v>17</v>
          </cell>
          <cell r="H93">
            <v>1</v>
          </cell>
          <cell r="I93">
            <v>1314</v>
          </cell>
          <cell r="J93">
            <v>0.73899999999999999</v>
          </cell>
          <cell r="K93">
            <v>1.3360000000000001</v>
          </cell>
        </row>
        <row r="94">
          <cell r="A94" t="str">
            <v>OAS1_0186_MR1</v>
          </cell>
          <cell r="B94" t="str">
            <v>M</v>
          </cell>
          <cell r="C94" t="str">
            <v>R</v>
          </cell>
          <cell r="D94">
            <v>84</v>
          </cell>
          <cell r="E94">
            <v>5</v>
          </cell>
          <cell r="F94">
            <v>1</v>
          </cell>
          <cell r="G94">
            <v>29</v>
          </cell>
          <cell r="H94">
            <v>0</v>
          </cell>
          <cell r="I94">
            <v>1707</v>
          </cell>
          <cell r="J94">
            <v>0.73099999999999998</v>
          </cell>
          <cell r="K94">
            <v>1.028</v>
          </cell>
        </row>
        <row r="95">
          <cell r="A95" t="str">
            <v>OAS1_0188_MR1</v>
          </cell>
          <cell r="B95" t="str">
            <v>M</v>
          </cell>
          <cell r="C95" t="str">
            <v>R</v>
          </cell>
          <cell r="D95">
            <v>48</v>
          </cell>
          <cell r="E95">
            <v>4</v>
          </cell>
          <cell r="F95">
            <v>2</v>
          </cell>
          <cell r="G95">
            <v>30</v>
          </cell>
          <cell r="H95">
            <v>0</v>
          </cell>
          <cell r="I95">
            <v>1464</v>
          </cell>
          <cell r="J95">
            <v>0.79</v>
          </cell>
          <cell r="K95">
            <v>1.1990000000000001</v>
          </cell>
        </row>
        <row r="96">
          <cell r="A96" t="str">
            <v>OAS1_0195_MR1</v>
          </cell>
          <cell r="B96" t="str">
            <v>F</v>
          </cell>
          <cell r="C96" t="str">
            <v>R</v>
          </cell>
          <cell r="D96">
            <v>76</v>
          </cell>
          <cell r="E96">
            <v>4</v>
          </cell>
          <cell r="F96">
            <v>1</v>
          </cell>
          <cell r="G96">
            <v>28</v>
          </cell>
          <cell r="H96">
            <v>0</v>
          </cell>
          <cell r="I96">
            <v>1346</v>
          </cell>
          <cell r="J96">
            <v>0.76600000000000001</v>
          </cell>
          <cell r="K96">
            <v>1.304</v>
          </cell>
        </row>
        <row r="97">
          <cell r="A97" t="str">
            <v>OAS1_0197_MR1</v>
          </cell>
          <cell r="B97" t="str">
            <v>F</v>
          </cell>
          <cell r="C97" t="str">
            <v>R</v>
          </cell>
          <cell r="D97">
            <v>89</v>
          </cell>
          <cell r="E97">
            <v>3</v>
          </cell>
          <cell r="F97">
            <v>3</v>
          </cell>
          <cell r="G97">
            <v>29</v>
          </cell>
          <cell r="H97">
            <v>0</v>
          </cell>
          <cell r="I97">
            <v>1154</v>
          </cell>
          <cell r="J97">
            <v>0.747</v>
          </cell>
          <cell r="K97">
            <v>1.5209999999999999</v>
          </cell>
        </row>
        <row r="98">
          <cell r="A98" t="str">
            <v>OAS1_0199_MR1</v>
          </cell>
          <cell r="B98" t="str">
            <v>M</v>
          </cell>
          <cell r="C98" t="str">
            <v>R</v>
          </cell>
          <cell r="D98">
            <v>69</v>
          </cell>
          <cell r="E98">
            <v>5</v>
          </cell>
          <cell r="F98">
            <v>1</v>
          </cell>
          <cell r="G98">
            <v>30</v>
          </cell>
          <cell r="H98">
            <v>0</v>
          </cell>
          <cell r="I98">
            <v>1601</v>
          </cell>
          <cell r="J98">
            <v>0.78400000000000003</v>
          </cell>
          <cell r="K98">
            <v>1.0960000000000001</v>
          </cell>
        </row>
        <row r="99">
          <cell r="A99" t="str">
            <v>OAS1_0200_MR1</v>
          </cell>
          <cell r="B99" t="str">
            <v>F</v>
          </cell>
          <cell r="C99" t="str">
            <v>R</v>
          </cell>
          <cell r="D99">
            <v>60</v>
          </cell>
          <cell r="E99">
            <v>2</v>
          </cell>
          <cell r="F99">
            <v>4</v>
          </cell>
          <cell r="G99">
            <v>30</v>
          </cell>
          <cell r="H99">
            <v>0</v>
          </cell>
          <cell r="I99">
            <v>1366</v>
          </cell>
          <cell r="J99">
            <v>0.80700000000000005</v>
          </cell>
          <cell r="K99">
            <v>1.2849999999999999</v>
          </cell>
        </row>
        <row r="100">
          <cell r="A100" t="str">
            <v>OAS1_0201_MR1</v>
          </cell>
          <cell r="B100" t="str">
            <v>F</v>
          </cell>
          <cell r="C100" t="str">
            <v>R</v>
          </cell>
          <cell r="D100">
            <v>85</v>
          </cell>
          <cell r="E100">
            <v>4</v>
          </cell>
          <cell r="F100">
            <v>1</v>
          </cell>
          <cell r="G100">
            <v>26</v>
          </cell>
          <cell r="H100">
            <v>0</v>
          </cell>
          <cell r="I100">
            <v>1460</v>
          </cell>
          <cell r="J100">
            <v>0.754</v>
          </cell>
          <cell r="K100">
            <v>1.202</v>
          </cell>
        </row>
        <row r="101">
          <cell r="A101" t="str">
            <v>OAS1_0203_MR1</v>
          </cell>
          <cell r="B101" t="str">
            <v>F</v>
          </cell>
          <cell r="C101" t="str">
            <v>R</v>
          </cell>
          <cell r="D101">
            <v>71</v>
          </cell>
          <cell r="E101">
            <v>2</v>
          </cell>
          <cell r="F101">
            <v>3</v>
          </cell>
          <cell r="G101">
            <v>30</v>
          </cell>
          <cell r="H101">
            <v>0</v>
          </cell>
          <cell r="I101">
            <v>1360</v>
          </cell>
          <cell r="J101">
            <v>0.77900000000000003</v>
          </cell>
          <cell r="K101">
            <v>1.2909999999999999</v>
          </cell>
        </row>
        <row r="102">
          <cell r="A102" t="str">
            <v>OAS1_0204_MR1</v>
          </cell>
          <cell r="B102" t="str">
            <v>M</v>
          </cell>
          <cell r="C102" t="str">
            <v>R</v>
          </cell>
          <cell r="D102">
            <v>48</v>
          </cell>
          <cell r="E102">
            <v>4</v>
          </cell>
          <cell r="F102">
            <v>1</v>
          </cell>
          <cell r="G102">
            <v>29</v>
          </cell>
          <cell r="H102">
            <v>0</v>
          </cell>
          <cell r="I102">
            <v>1430</v>
          </cell>
          <cell r="J102">
            <v>0.79700000000000004</v>
          </cell>
          <cell r="K102">
            <v>1.2270000000000001</v>
          </cell>
        </row>
        <row r="103">
          <cell r="A103" t="str">
            <v>OAS1_0205_MR1</v>
          </cell>
          <cell r="B103" t="str">
            <v>M</v>
          </cell>
          <cell r="C103" t="str">
            <v>R</v>
          </cell>
          <cell r="D103">
            <v>75</v>
          </cell>
          <cell r="E103">
            <v>4</v>
          </cell>
          <cell r="F103">
            <v>1</v>
          </cell>
          <cell r="G103">
            <v>30</v>
          </cell>
          <cell r="H103">
            <v>0.5</v>
          </cell>
          <cell r="I103">
            <v>1891</v>
          </cell>
          <cell r="J103">
            <v>0.71599999999999997</v>
          </cell>
          <cell r="K103">
            <v>0.92800000000000005</v>
          </cell>
        </row>
        <row r="104">
          <cell r="A104" t="str">
            <v>OAS1_0206_MR1</v>
          </cell>
          <cell r="B104" t="str">
            <v>F</v>
          </cell>
          <cell r="C104" t="str">
            <v>R</v>
          </cell>
          <cell r="D104">
            <v>78</v>
          </cell>
          <cell r="E104">
            <v>5</v>
          </cell>
          <cell r="F104">
            <v>1</v>
          </cell>
          <cell r="G104">
            <v>30</v>
          </cell>
          <cell r="H104">
            <v>0</v>
          </cell>
          <cell r="I104">
            <v>1243</v>
          </cell>
          <cell r="J104">
            <v>0.747</v>
          </cell>
          <cell r="K104">
            <v>1.4119999999999999</v>
          </cell>
        </row>
        <row r="105">
          <cell r="A105" t="str">
            <v>OAS1_0207_MR1</v>
          </cell>
          <cell r="B105" t="str">
            <v>M</v>
          </cell>
          <cell r="C105" t="str">
            <v>R</v>
          </cell>
          <cell r="D105">
            <v>51</v>
          </cell>
          <cell r="E105">
            <v>5</v>
          </cell>
          <cell r="F105">
            <v>2</v>
          </cell>
          <cell r="G105">
            <v>29</v>
          </cell>
          <cell r="H105">
            <v>0</v>
          </cell>
          <cell r="I105">
            <v>1714</v>
          </cell>
          <cell r="J105">
            <v>0.81899999999999995</v>
          </cell>
          <cell r="K105">
            <v>1.024</v>
          </cell>
        </row>
        <row r="106">
          <cell r="A106" t="str">
            <v>OAS1_0208_MR1</v>
          </cell>
          <cell r="B106" t="str">
            <v>F</v>
          </cell>
          <cell r="C106" t="str">
            <v>R</v>
          </cell>
          <cell r="D106">
            <v>55</v>
          </cell>
          <cell r="E106">
            <v>5</v>
          </cell>
          <cell r="F106">
            <v>1</v>
          </cell>
          <cell r="G106">
            <v>29</v>
          </cell>
          <cell r="H106">
            <v>0</v>
          </cell>
          <cell r="I106">
            <v>1368</v>
          </cell>
          <cell r="J106">
            <v>0.82299999999999995</v>
          </cell>
          <cell r="K106">
            <v>1.2829999999999999</v>
          </cell>
        </row>
        <row r="107">
          <cell r="A107" t="str">
            <v>OAS1_0210_MR1</v>
          </cell>
          <cell r="B107" t="str">
            <v>F</v>
          </cell>
          <cell r="C107" t="str">
            <v>R</v>
          </cell>
          <cell r="D107">
            <v>73</v>
          </cell>
          <cell r="E107">
            <v>4</v>
          </cell>
          <cell r="F107">
            <v>1</v>
          </cell>
          <cell r="G107">
            <v>28</v>
          </cell>
          <cell r="H107">
            <v>0.5</v>
          </cell>
          <cell r="I107">
            <v>1676</v>
          </cell>
          <cell r="J107">
            <v>0.72199999999999998</v>
          </cell>
          <cell r="K107">
            <v>1.0469999999999999</v>
          </cell>
        </row>
        <row r="108">
          <cell r="A108" t="str">
            <v>OAS1_0212_MR1</v>
          </cell>
          <cell r="B108" t="str">
            <v>F</v>
          </cell>
          <cell r="C108" t="str">
            <v>R</v>
          </cell>
          <cell r="D108">
            <v>74</v>
          </cell>
          <cell r="E108">
            <v>3</v>
          </cell>
          <cell r="G108">
            <v>28</v>
          </cell>
          <cell r="H108">
            <v>0</v>
          </cell>
          <cell r="I108">
            <v>1614</v>
          </cell>
          <cell r="J108">
            <v>0.69699999999999995</v>
          </cell>
          <cell r="K108">
            <v>1.087</v>
          </cell>
        </row>
        <row r="109">
          <cell r="A109" t="str">
            <v>OAS1_0216_MR1</v>
          </cell>
          <cell r="B109" t="str">
            <v>F</v>
          </cell>
          <cell r="C109" t="str">
            <v>R</v>
          </cell>
          <cell r="D109">
            <v>71</v>
          </cell>
          <cell r="E109">
            <v>4</v>
          </cell>
          <cell r="F109">
            <v>3</v>
          </cell>
          <cell r="G109">
            <v>30</v>
          </cell>
          <cell r="H109">
            <v>0</v>
          </cell>
          <cell r="I109">
            <v>1503</v>
          </cell>
          <cell r="J109">
            <v>0.79200000000000004</v>
          </cell>
          <cell r="K109">
            <v>1.1679999999999999</v>
          </cell>
        </row>
        <row r="110">
          <cell r="A110" t="str">
            <v>OAS1_0217_MR1</v>
          </cell>
          <cell r="B110" t="str">
            <v>F</v>
          </cell>
          <cell r="C110" t="str">
            <v>R</v>
          </cell>
          <cell r="D110">
            <v>78</v>
          </cell>
          <cell r="E110">
            <v>4</v>
          </cell>
          <cell r="F110">
            <v>3</v>
          </cell>
          <cell r="G110">
            <v>27</v>
          </cell>
          <cell r="H110">
            <v>0.5</v>
          </cell>
          <cell r="I110">
            <v>1393</v>
          </cell>
          <cell r="J110">
            <v>0.69199999999999995</v>
          </cell>
          <cell r="K110">
            <v>1.26</v>
          </cell>
        </row>
        <row r="111">
          <cell r="A111" t="str">
            <v>OAS1_0220_MR1</v>
          </cell>
          <cell r="B111" t="str">
            <v>F</v>
          </cell>
          <cell r="C111" t="str">
            <v>R</v>
          </cell>
          <cell r="D111">
            <v>75</v>
          </cell>
          <cell r="E111">
            <v>5</v>
          </cell>
          <cell r="F111">
            <v>1</v>
          </cell>
          <cell r="G111">
            <v>30</v>
          </cell>
          <cell r="H111">
            <v>0</v>
          </cell>
          <cell r="I111">
            <v>1317</v>
          </cell>
          <cell r="J111">
            <v>0.74199999999999999</v>
          </cell>
          <cell r="K111">
            <v>1.3320000000000001</v>
          </cell>
        </row>
        <row r="112">
          <cell r="A112" t="str">
            <v>OAS1_0221_MR1</v>
          </cell>
          <cell r="B112" t="str">
            <v>F</v>
          </cell>
          <cell r="C112" t="str">
            <v>R</v>
          </cell>
          <cell r="D112">
            <v>94</v>
          </cell>
          <cell r="E112">
            <v>5</v>
          </cell>
          <cell r="F112">
            <v>1</v>
          </cell>
          <cell r="G112">
            <v>29</v>
          </cell>
          <cell r="H112">
            <v>0</v>
          </cell>
          <cell r="I112">
            <v>1474</v>
          </cell>
          <cell r="J112">
            <v>0.69599999999999995</v>
          </cell>
          <cell r="K112">
            <v>1.19</v>
          </cell>
        </row>
        <row r="113">
          <cell r="A113" t="str">
            <v>OAS1_0223_MR1</v>
          </cell>
          <cell r="B113" t="str">
            <v>M</v>
          </cell>
          <cell r="C113" t="str">
            <v>R</v>
          </cell>
          <cell r="D113">
            <v>84</v>
          </cell>
          <cell r="E113">
            <v>2</v>
          </cell>
          <cell r="G113">
            <v>20</v>
          </cell>
          <cell r="H113">
            <v>1</v>
          </cell>
          <cell r="I113">
            <v>1641</v>
          </cell>
          <cell r="J113">
            <v>0.70299999999999996</v>
          </cell>
          <cell r="K113">
            <v>1.07</v>
          </cell>
        </row>
        <row r="114">
          <cell r="A114" t="str">
            <v>OAS1_0226_MR1</v>
          </cell>
          <cell r="B114" t="str">
            <v>M</v>
          </cell>
          <cell r="C114" t="str">
            <v>R</v>
          </cell>
          <cell r="D114">
            <v>90</v>
          </cell>
          <cell r="E114">
            <v>1</v>
          </cell>
          <cell r="F114">
            <v>4</v>
          </cell>
          <cell r="G114">
            <v>23</v>
          </cell>
          <cell r="H114">
            <v>0.5</v>
          </cell>
          <cell r="I114">
            <v>1668</v>
          </cell>
          <cell r="J114">
            <v>0.64400000000000002</v>
          </cell>
          <cell r="K114">
            <v>1.052</v>
          </cell>
        </row>
        <row r="115">
          <cell r="A115" t="str">
            <v>OAS1_0228_MR1</v>
          </cell>
          <cell r="B115" t="str">
            <v>F</v>
          </cell>
          <cell r="C115" t="str">
            <v>R</v>
          </cell>
          <cell r="D115">
            <v>81</v>
          </cell>
          <cell r="E115">
            <v>3</v>
          </cell>
          <cell r="F115">
            <v>2</v>
          </cell>
          <cell r="G115">
            <v>28</v>
          </cell>
          <cell r="H115">
            <v>0</v>
          </cell>
          <cell r="I115">
            <v>1486</v>
          </cell>
          <cell r="J115">
            <v>0.75900000000000001</v>
          </cell>
          <cell r="K115">
            <v>1.181</v>
          </cell>
        </row>
        <row r="116">
          <cell r="A116" t="str">
            <v>OAS1_0229_MR1</v>
          </cell>
          <cell r="B116" t="str">
            <v>F</v>
          </cell>
          <cell r="C116" t="str">
            <v>R</v>
          </cell>
          <cell r="D116">
            <v>55</v>
          </cell>
          <cell r="E116">
            <v>3</v>
          </cell>
          <cell r="F116">
            <v>3</v>
          </cell>
          <cell r="G116">
            <v>30</v>
          </cell>
          <cell r="H116">
            <v>0</v>
          </cell>
          <cell r="I116">
            <v>1327</v>
          </cell>
          <cell r="J116">
            <v>0.83199999999999996</v>
          </cell>
          <cell r="K116">
            <v>1.323</v>
          </cell>
        </row>
        <row r="117">
          <cell r="A117" t="str">
            <v>OAS1_0233_MR1</v>
          </cell>
          <cell r="B117" t="str">
            <v>F</v>
          </cell>
          <cell r="C117" t="str">
            <v>R</v>
          </cell>
          <cell r="D117">
            <v>77</v>
          </cell>
          <cell r="E117">
            <v>1</v>
          </cell>
          <cell r="F117">
            <v>4</v>
          </cell>
          <cell r="G117">
            <v>20</v>
          </cell>
          <cell r="H117">
            <v>0.5</v>
          </cell>
          <cell r="I117">
            <v>1376</v>
          </cell>
          <cell r="J117">
            <v>0.70099999999999996</v>
          </cell>
          <cell r="K117">
            <v>1.2749999999999999</v>
          </cell>
        </row>
        <row r="118">
          <cell r="A118" t="str">
            <v>OAS1_0234_MR1</v>
          </cell>
          <cell r="B118" t="str">
            <v>M</v>
          </cell>
          <cell r="C118" t="str">
            <v>R</v>
          </cell>
          <cell r="D118">
            <v>75</v>
          </cell>
          <cell r="E118">
            <v>5</v>
          </cell>
          <cell r="F118">
            <v>2</v>
          </cell>
          <cell r="G118">
            <v>29</v>
          </cell>
          <cell r="H118">
            <v>0</v>
          </cell>
          <cell r="I118">
            <v>1534</v>
          </cell>
          <cell r="J118">
            <v>0.77100000000000002</v>
          </cell>
          <cell r="K118">
            <v>1.1439999999999999</v>
          </cell>
        </row>
        <row r="119">
          <cell r="A119" t="str">
            <v>OAS1_0237_MR1</v>
          </cell>
          <cell r="B119" t="str">
            <v>F</v>
          </cell>
          <cell r="C119" t="str">
            <v>R</v>
          </cell>
          <cell r="D119">
            <v>72</v>
          </cell>
          <cell r="E119">
            <v>2</v>
          </cell>
          <cell r="F119">
            <v>2</v>
          </cell>
          <cell r="G119">
            <v>27</v>
          </cell>
          <cell r="H119">
            <v>0</v>
          </cell>
          <cell r="I119">
            <v>1322</v>
          </cell>
          <cell r="J119">
            <v>0.76400000000000001</v>
          </cell>
          <cell r="K119">
            <v>1.3280000000000001</v>
          </cell>
        </row>
        <row r="120">
          <cell r="A120" t="str">
            <v>OAS1_0238_MR1</v>
          </cell>
          <cell r="B120" t="str">
            <v>F</v>
          </cell>
          <cell r="C120" t="str">
            <v>R</v>
          </cell>
          <cell r="D120">
            <v>77</v>
          </cell>
          <cell r="E120">
            <v>2</v>
          </cell>
          <cell r="F120">
            <v>3</v>
          </cell>
          <cell r="G120">
            <v>28</v>
          </cell>
          <cell r="H120">
            <v>0.5</v>
          </cell>
          <cell r="I120">
            <v>1484</v>
          </cell>
          <cell r="J120">
            <v>0.78600000000000003</v>
          </cell>
          <cell r="K120">
            <v>1.1819999999999999</v>
          </cell>
        </row>
        <row r="121">
          <cell r="A121" t="str">
            <v>OAS1_0240_MR1</v>
          </cell>
          <cell r="B121" t="str">
            <v>F</v>
          </cell>
          <cell r="C121" t="str">
            <v>R</v>
          </cell>
          <cell r="D121">
            <v>74</v>
          </cell>
          <cell r="E121">
            <v>2</v>
          </cell>
          <cell r="G121">
            <v>26</v>
          </cell>
          <cell r="H121">
            <v>0.5</v>
          </cell>
          <cell r="I121">
            <v>1171</v>
          </cell>
          <cell r="J121">
            <v>0.73599999999999999</v>
          </cell>
          <cell r="K121">
            <v>1.4990000000000001</v>
          </cell>
        </row>
        <row r="122">
          <cell r="A122" t="str">
            <v>OAS1_0241_MR1</v>
          </cell>
          <cell r="B122" t="str">
            <v>F</v>
          </cell>
          <cell r="C122" t="str">
            <v>R</v>
          </cell>
          <cell r="D122">
            <v>74</v>
          </cell>
          <cell r="E122">
            <v>5</v>
          </cell>
          <cell r="F122">
            <v>2</v>
          </cell>
          <cell r="G122">
            <v>30</v>
          </cell>
          <cell r="H122">
            <v>0</v>
          </cell>
          <cell r="I122">
            <v>1400</v>
          </cell>
          <cell r="J122">
            <v>0.754</v>
          </cell>
          <cell r="K122">
            <v>1.254</v>
          </cell>
        </row>
        <row r="123">
          <cell r="A123" t="str">
            <v>OAS1_0243_MR1</v>
          </cell>
          <cell r="B123" t="str">
            <v>M</v>
          </cell>
          <cell r="C123" t="str">
            <v>R</v>
          </cell>
          <cell r="D123">
            <v>64</v>
          </cell>
          <cell r="E123">
            <v>5</v>
          </cell>
          <cell r="F123">
            <v>2</v>
          </cell>
          <cell r="G123">
            <v>22</v>
          </cell>
          <cell r="H123">
            <v>0.5</v>
          </cell>
          <cell r="I123">
            <v>1547</v>
          </cell>
          <cell r="J123">
            <v>0.74199999999999999</v>
          </cell>
          <cell r="K123">
            <v>1.1339999999999999</v>
          </cell>
        </row>
        <row r="124">
          <cell r="A124" t="str">
            <v>OAS1_0244_MR1</v>
          </cell>
          <cell r="B124" t="str">
            <v>F</v>
          </cell>
          <cell r="C124" t="str">
            <v>R</v>
          </cell>
          <cell r="D124">
            <v>80</v>
          </cell>
          <cell r="E124">
            <v>4</v>
          </cell>
          <cell r="F124">
            <v>2</v>
          </cell>
          <cell r="G124">
            <v>29</v>
          </cell>
          <cell r="H124">
            <v>0</v>
          </cell>
          <cell r="I124">
            <v>1341</v>
          </cell>
          <cell r="J124">
            <v>0.73699999999999999</v>
          </cell>
          <cell r="K124">
            <v>1.3089999999999999</v>
          </cell>
        </row>
        <row r="125">
          <cell r="A125" t="str">
            <v>OAS1_0247_MR1</v>
          </cell>
          <cell r="B125" t="str">
            <v>M</v>
          </cell>
          <cell r="C125" t="str">
            <v>R</v>
          </cell>
          <cell r="D125">
            <v>90</v>
          </cell>
          <cell r="E125">
            <v>2</v>
          </cell>
          <cell r="F125">
            <v>3</v>
          </cell>
          <cell r="G125">
            <v>21</v>
          </cell>
          <cell r="H125">
            <v>0.5</v>
          </cell>
          <cell r="I125">
            <v>1307</v>
          </cell>
          <cell r="J125">
            <v>0.68899999999999995</v>
          </cell>
          <cell r="K125">
            <v>1.3420000000000001</v>
          </cell>
        </row>
        <row r="126">
          <cell r="A126" t="str">
            <v>OAS1_0254_MR1</v>
          </cell>
          <cell r="B126" t="str">
            <v>F</v>
          </cell>
          <cell r="C126" t="str">
            <v>R</v>
          </cell>
          <cell r="D126">
            <v>85</v>
          </cell>
          <cell r="E126">
            <v>5</v>
          </cell>
          <cell r="F126">
            <v>1</v>
          </cell>
          <cell r="G126">
            <v>29</v>
          </cell>
          <cell r="H126">
            <v>0</v>
          </cell>
          <cell r="I126">
            <v>1264</v>
          </cell>
          <cell r="J126">
            <v>0.70499999999999996</v>
          </cell>
          <cell r="K126">
            <v>1.3879999999999999</v>
          </cell>
        </row>
        <row r="127">
          <cell r="A127" t="str">
            <v>OAS1_0255_MR1</v>
          </cell>
          <cell r="B127" t="str">
            <v>F</v>
          </cell>
          <cell r="C127" t="str">
            <v>R</v>
          </cell>
          <cell r="D127">
            <v>71</v>
          </cell>
          <cell r="E127">
            <v>5</v>
          </cell>
          <cell r="F127">
            <v>1</v>
          </cell>
          <cell r="G127">
            <v>30</v>
          </cell>
          <cell r="H127">
            <v>0</v>
          </cell>
          <cell r="I127">
            <v>1426</v>
          </cell>
          <cell r="J127">
            <v>0.73699999999999999</v>
          </cell>
          <cell r="K127">
            <v>1.2310000000000001</v>
          </cell>
        </row>
        <row r="128">
          <cell r="A128" t="str">
            <v>OAS1_0256_MR1</v>
          </cell>
          <cell r="B128" t="str">
            <v>M</v>
          </cell>
          <cell r="C128" t="str">
            <v>R</v>
          </cell>
          <cell r="D128">
            <v>70</v>
          </cell>
          <cell r="E128">
            <v>5</v>
          </cell>
          <cell r="F128">
            <v>1</v>
          </cell>
          <cell r="G128">
            <v>30</v>
          </cell>
          <cell r="H128">
            <v>0</v>
          </cell>
          <cell r="I128">
            <v>1660</v>
          </cell>
          <cell r="J128">
            <v>0.73899999999999999</v>
          </cell>
          <cell r="K128">
            <v>1.0569999999999999</v>
          </cell>
        </row>
        <row r="129">
          <cell r="A129" t="str">
            <v>OAS1_0259_MR1</v>
          </cell>
          <cell r="B129" t="str">
            <v>F</v>
          </cell>
          <cell r="C129" t="str">
            <v>R</v>
          </cell>
          <cell r="D129">
            <v>78</v>
          </cell>
          <cell r="E129">
            <v>3</v>
          </cell>
          <cell r="F129">
            <v>2</v>
          </cell>
          <cell r="G129">
            <v>29</v>
          </cell>
          <cell r="H129">
            <v>0</v>
          </cell>
          <cell r="I129">
            <v>1334</v>
          </cell>
          <cell r="J129">
            <v>0.77300000000000002</v>
          </cell>
          <cell r="K129">
            <v>1.3160000000000001</v>
          </cell>
        </row>
        <row r="130">
          <cell r="A130" t="str">
            <v>OAS1_0260_MR1</v>
          </cell>
          <cell r="B130" t="str">
            <v>M</v>
          </cell>
          <cell r="C130" t="str">
            <v>R</v>
          </cell>
          <cell r="D130">
            <v>87</v>
          </cell>
          <cell r="E130">
            <v>2</v>
          </cell>
          <cell r="F130">
            <v>4</v>
          </cell>
          <cell r="G130">
            <v>30</v>
          </cell>
          <cell r="H130">
            <v>0</v>
          </cell>
          <cell r="I130">
            <v>1762</v>
          </cell>
          <cell r="J130">
            <v>0.71899999999999997</v>
          </cell>
          <cell r="K130">
            <v>0.996</v>
          </cell>
        </row>
        <row r="131">
          <cell r="A131" t="str">
            <v>OAS1_0262_MR1</v>
          </cell>
          <cell r="B131" t="str">
            <v>M</v>
          </cell>
          <cell r="C131" t="str">
            <v>R</v>
          </cell>
          <cell r="D131">
            <v>46</v>
          </cell>
          <cell r="E131">
            <v>2</v>
          </cell>
          <cell r="F131">
            <v>3</v>
          </cell>
          <cell r="G131">
            <v>30</v>
          </cell>
          <cell r="H131">
            <v>0</v>
          </cell>
          <cell r="I131">
            <v>1604</v>
          </cell>
          <cell r="J131">
            <v>0.78400000000000003</v>
          </cell>
          <cell r="K131">
            <v>1.0940000000000001</v>
          </cell>
        </row>
        <row r="132">
          <cell r="A132" t="str">
            <v>OAS1_0263_MR1</v>
          </cell>
          <cell r="B132" t="str">
            <v>M</v>
          </cell>
          <cell r="C132" t="str">
            <v>R</v>
          </cell>
          <cell r="D132">
            <v>79</v>
          </cell>
          <cell r="E132">
            <v>4</v>
          </cell>
          <cell r="F132">
            <v>1</v>
          </cell>
          <cell r="G132">
            <v>30</v>
          </cell>
          <cell r="H132">
            <v>0.5</v>
          </cell>
          <cell r="I132">
            <v>1722</v>
          </cell>
          <cell r="J132">
            <v>0.70899999999999996</v>
          </cell>
          <cell r="K132">
            <v>1.0189999999999999</v>
          </cell>
        </row>
        <row r="133">
          <cell r="A133" t="str">
            <v>OAS1_0266_MR1</v>
          </cell>
          <cell r="B133" t="str">
            <v>M</v>
          </cell>
          <cell r="C133" t="str">
            <v>R</v>
          </cell>
          <cell r="D133">
            <v>51</v>
          </cell>
          <cell r="E133">
            <v>5</v>
          </cell>
          <cell r="F133">
            <v>1</v>
          </cell>
          <cell r="G133">
            <v>30</v>
          </cell>
          <cell r="H133">
            <v>0</v>
          </cell>
          <cell r="I133">
            <v>1793</v>
          </cell>
          <cell r="J133">
            <v>0.83399999999999996</v>
          </cell>
          <cell r="K133">
            <v>0.97899999999999998</v>
          </cell>
        </row>
        <row r="134">
          <cell r="A134" t="str">
            <v>OAS1_0267_MR1</v>
          </cell>
          <cell r="B134" t="str">
            <v>M</v>
          </cell>
          <cell r="C134" t="str">
            <v>R</v>
          </cell>
          <cell r="D134">
            <v>80</v>
          </cell>
          <cell r="E134">
            <v>5</v>
          </cell>
          <cell r="F134">
            <v>2</v>
          </cell>
          <cell r="G134">
            <v>28</v>
          </cell>
          <cell r="H134">
            <v>0.5</v>
          </cell>
          <cell r="I134">
            <v>1506</v>
          </cell>
          <cell r="J134">
            <v>0.67900000000000005</v>
          </cell>
          <cell r="K134">
            <v>1.1659999999999999</v>
          </cell>
        </row>
        <row r="135">
          <cell r="A135" t="str">
            <v>OAS1_0268_MR1</v>
          </cell>
          <cell r="B135" t="str">
            <v>M</v>
          </cell>
          <cell r="C135" t="str">
            <v>R</v>
          </cell>
          <cell r="D135">
            <v>78</v>
          </cell>
          <cell r="E135">
            <v>2</v>
          </cell>
          <cell r="F135">
            <v>3</v>
          </cell>
          <cell r="G135">
            <v>23</v>
          </cell>
          <cell r="H135">
            <v>1</v>
          </cell>
          <cell r="I135">
            <v>1491</v>
          </cell>
          <cell r="J135">
            <v>0.71499999999999997</v>
          </cell>
          <cell r="K135">
            <v>1.177</v>
          </cell>
        </row>
        <row r="136">
          <cell r="A136" t="str">
            <v>OAS1_0269_MR1</v>
          </cell>
          <cell r="B136" t="str">
            <v>F</v>
          </cell>
          <cell r="C136" t="str">
            <v>R</v>
          </cell>
          <cell r="D136">
            <v>72</v>
          </cell>
          <cell r="E136">
            <v>1</v>
          </cell>
          <cell r="F136">
            <v>4</v>
          </cell>
          <cell r="G136">
            <v>21</v>
          </cell>
          <cell r="H136">
            <v>1</v>
          </cell>
          <cell r="I136">
            <v>1489</v>
          </cell>
          <cell r="J136">
            <v>0.68300000000000005</v>
          </cell>
          <cell r="K136">
            <v>1.179</v>
          </cell>
        </row>
        <row r="137">
          <cell r="A137" t="str">
            <v>OAS1_0270_MR1</v>
          </cell>
          <cell r="B137" t="str">
            <v>F</v>
          </cell>
          <cell r="C137" t="str">
            <v>R</v>
          </cell>
          <cell r="D137">
            <v>93</v>
          </cell>
          <cell r="E137">
            <v>3</v>
          </cell>
          <cell r="F137">
            <v>2</v>
          </cell>
          <cell r="G137">
            <v>30</v>
          </cell>
          <cell r="H137">
            <v>0</v>
          </cell>
          <cell r="I137">
            <v>1272</v>
          </cell>
          <cell r="J137">
            <v>0.70299999999999996</v>
          </cell>
          <cell r="K137">
            <v>1.38</v>
          </cell>
        </row>
        <row r="138">
          <cell r="A138" t="str">
            <v>OAS1_0271_MR1</v>
          </cell>
          <cell r="B138" t="str">
            <v>F</v>
          </cell>
          <cell r="C138" t="str">
            <v>R</v>
          </cell>
          <cell r="D138">
            <v>89</v>
          </cell>
          <cell r="E138">
            <v>2</v>
          </cell>
          <cell r="F138">
            <v>4</v>
          </cell>
          <cell r="G138">
            <v>27</v>
          </cell>
          <cell r="H138">
            <v>0</v>
          </cell>
          <cell r="I138">
            <v>1329</v>
          </cell>
          <cell r="J138">
            <v>0.74</v>
          </cell>
          <cell r="K138">
            <v>1.32</v>
          </cell>
        </row>
        <row r="139">
          <cell r="A139" t="str">
            <v>OAS1_0272_MR1</v>
          </cell>
          <cell r="B139" t="str">
            <v>F</v>
          </cell>
          <cell r="C139" t="str">
            <v>R</v>
          </cell>
          <cell r="D139">
            <v>75</v>
          </cell>
          <cell r="E139">
            <v>3</v>
          </cell>
          <cell r="F139">
            <v>2</v>
          </cell>
          <cell r="G139">
            <v>26</v>
          </cell>
          <cell r="H139">
            <v>0.5</v>
          </cell>
          <cell r="I139">
            <v>1355</v>
          </cell>
          <cell r="J139">
            <v>0.745</v>
          </cell>
          <cell r="K139">
            <v>1.296</v>
          </cell>
        </row>
        <row r="140">
          <cell r="A140" t="str">
            <v>OAS1_0273_MR1</v>
          </cell>
          <cell r="B140" t="str">
            <v>F</v>
          </cell>
          <cell r="C140" t="str">
            <v>R</v>
          </cell>
          <cell r="D140">
            <v>89</v>
          </cell>
          <cell r="E140">
            <v>1</v>
          </cell>
          <cell r="F140">
            <v>4</v>
          </cell>
          <cell r="G140">
            <v>18</v>
          </cell>
          <cell r="H140">
            <v>0.5</v>
          </cell>
          <cell r="I140">
            <v>1480</v>
          </cell>
          <cell r="J140">
            <v>0.67600000000000005</v>
          </cell>
          <cell r="K140">
            <v>1.1859999999999999</v>
          </cell>
        </row>
        <row r="141">
          <cell r="A141" t="str">
            <v>OAS1_0274_MR1</v>
          </cell>
          <cell r="B141" t="str">
            <v>F</v>
          </cell>
          <cell r="C141" t="str">
            <v>R</v>
          </cell>
          <cell r="D141">
            <v>58</v>
          </cell>
          <cell r="E141">
            <v>3</v>
          </cell>
          <cell r="F141">
            <v>3</v>
          </cell>
          <cell r="G141">
            <v>30</v>
          </cell>
          <cell r="H141">
            <v>0</v>
          </cell>
          <cell r="I141">
            <v>1373</v>
          </cell>
          <cell r="J141">
            <v>0.81499999999999995</v>
          </cell>
          <cell r="K141">
            <v>1.278</v>
          </cell>
        </row>
        <row r="142">
          <cell r="A142" t="str">
            <v>OAS1_0278_MR1</v>
          </cell>
          <cell r="B142" t="str">
            <v>F</v>
          </cell>
          <cell r="C142" t="str">
            <v>R</v>
          </cell>
          <cell r="D142">
            <v>96</v>
          </cell>
          <cell r="E142">
            <v>5</v>
          </cell>
          <cell r="F142">
            <v>1</v>
          </cell>
          <cell r="G142">
            <v>26</v>
          </cell>
          <cell r="H142">
            <v>1</v>
          </cell>
          <cell r="I142">
            <v>1465</v>
          </cell>
          <cell r="J142">
            <v>0.68400000000000005</v>
          </cell>
          <cell r="K142">
            <v>1.198</v>
          </cell>
        </row>
        <row r="143">
          <cell r="A143" t="str">
            <v>OAS1_0279_MR1</v>
          </cell>
          <cell r="B143" t="str">
            <v>F</v>
          </cell>
          <cell r="C143" t="str">
            <v>R</v>
          </cell>
          <cell r="D143">
            <v>73</v>
          </cell>
          <cell r="E143">
            <v>1</v>
          </cell>
          <cell r="F143">
            <v>4</v>
          </cell>
          <cell r="G143">
            <v>30</v>
          </cell>
          <cell r="H143">
            <v>0</v>
          </cell>
          <cell r="I143">
            <v>1475</v>
          </cell>
          <cell r="J143">
            <v>0.72099999999999997</v>
          </cell>
          <cell r="K143">
            <v>1.19</v>
          </cell>
        </row>
        <row r="144">
          <cell r="A144" t="str">
            <v>OAS1_0280_MR1</v>
          </cell>
          <cell r="B144" t="str">
            <v>F</v>
          </cell>
          <cell r="C144" t="str">
            <v>R</v>
          </cell>
          <cell r="D144">
            <v>78</v>
          </cell>
          <cell r="E144">
            <v>5</v>
          </cell>
          <cell r="F144">
            <v>1</v>
          </cell>
          <cell r="G144">
            <v>30</v>
          </cell>
          <cell r="H144">
            <v>0</v>
          </cell>
          <cell r="I144">
            <v>1440</v>
          </cell>
          <cell r="J144">
            <v>0.67</v>
          </cell>
          <cell r="K144">
            <v>1.2190000000000001</v>
          </cell>
        </row>
        <row r="145">
          <cell r="A145" t="str">
            <v>OAS1_0284_MR1</v>
          </cell>
          <cell r="B145" t="str">
            <v>F</v>
          </cell>
          <cell r="C145" t="str">
            <v>R</v>
          </cell>
          <cell r="D145">
            <v>91</v>
          </cell>
          <cell r="E145">
            <v>5</v>
          </cell>
          <cell r="F145">
            <v>2</v>
          </cell>
          <cell r="G145">
            <v>30</v>
          </cell>
          <cell r="H145">
            <v>0</v>
          </cell>
          <cell r="I145">
            <v>1714</v>
          </cell>
          <cell r="J145">
            <v>0.746</v>
          </cell>
          <cell r="K145">
            <v>1.024</v>
          </cell>
        </row>
        <row r="146">
          <cell r="A146" t="str">
            <v>OAS1_0286_MR1</v>
          </cell>
          <cell r="B146" t="str">
            <v>F</v>
          </cell>
          <cell r="C146" t="str">
            <v>R</v>
          </cell>
          <cell r="D146">
            <v>83</v>
          </cell>
          <cell r="E146">
            <v>3</v>
          </cell>
          <cell r="F146">
            <v>2</v>
          </cell>
          <cell r="G146">
            <v>20</v>
          </cell>
          <cell r="H146">
            <v>0.5</v>
          </cell>
          <cell r="I146">
            <v>1476</v>
          </cell>
          <cell r="J146">
            <v>0.751</v>
          </cell>
          <cell r="K146">
            <v>1.1890000000000001</v>
          </cell>
        </row>
        <row r="147">
          <cell r="A147" t="str">
            <v>OAS1_0287_MR1</v>
          </cell>
          <cell r="B147" t="str">
            <v>F</v>
          </cell>
          <cell r="C147" t="str">
            <v>R</v>
          </cell>
          <cell r="D147">
            <v>78</v>
          </cell>
          <cell r="E147">
            <v>3</v>
          </cell>
          <cell r="F147">
            <v>3</v>
          </cell>
          <cell r="G147">
            <v>21</v>
          </cell>
          <cell r="H147">
            <v>0.5</v>
          </cell>
          <cell r="I147">
            <v>1194</v>
          </cell>
          <cell r="J147">
            <v>0.69399999999999995</v>
          </cell>
          <cell r="K147">
            <v>1.47</v>
          </cell>
        </row>
        <row r="148">
          <cell r="A148" t="str">
            <v>OAS1_0288_MR1</v>
          </cell>
          <cell r="B148" t="str">
            <v>M</v>
          </cell>
          <cell r="C148" t="str">
            <v>R</v>
          </cell>
          <cell r="D148">
            <v>71</v>
          </cell>
          <cell r="E148">
            <v>2</v>
          </cell>
          <cell r="F148">
            <v>4</v>
          </cell>
          <cell r="G148">
            <v>20</v>
          </cell>
          <cell r="H148">
            <v>0.5</v>
          </cell>
          <cell r="I148">
            <v>1461</v>
          </cell>
          <cell r="J148">
            <v>0.72699999999999998</v>
          </cell>
          <cell r="K148">
            <v>1.202</v>
          </cell>
        </row>
        <row r="149">
          <cell r="A149" t="str">
            <v>OAS1_0289_MR1</v>
          </cell>
          <cell r="B149" t="str">
            <v>F</v>
          </cell>
          <cell r="C149" t="str">
            <v>R</v>
          </cell>
          <cell r="D149">
            <v>59</v>
          </cell>
          <cell r="E149">
            <v>3</v>
          </cell>
          <cell r="F149">
            <v>2</v>
          </cell>
          <cell r="G149">
            <v>28</v>
          </cell>
          <cell r="H149">
            <v>0</v>
          </cell>
          <cell r="I149">
            <v>1334</v>
          </cell>
          <cell r="J149">
            <v>0.76700000000000002</v>
          </cell>
          <cell r="K149">
            <v>1.3160000000000001</v>
          </cell>
        </row>
        <row r="150">
          <cell r="A150" t="str">
            <v>OAS1_0290_MR1</v>
          </cell>
          <cell r="B150" t="str">
            <v>M</v>
          </cell>
          <cell r="C150" t="str">
            <v>R</v>
          </cell>
          <cell r="D150">
            <v>83</v>
          </cell>
          <cell r="E150">
            <v>3</v>
          </cell>
          <cell r="F150">
            <v>2</v>
          </cell>
          <cell r="G150">
            <v>26</v>
          </cell>
          <cell r="H150">
            <v>0.5</v>
          </cell>
          <cell r="I150">
            <v>1992</v>
          </cell>
          <cell r="J150">
            <v>0.70599999999999996</v>
          </cell>
          <cell r="K150">
            <v>0.88100000000000001</v>
          </cell>
        </row>
        <row r="151">
          <cell r="A151" t="str">
            <v>OAS1_0291_MR1</v>
          </cell>
          <cell r="B151" t="str">
            <v>F</v>
          </cell>
          <cell r="C151" t="str">
            <v>R</v>
          </cell>
          <cell r="D151">
            <v>73</v>
          </cell>
          <cell r="E151">
            <v>2</v>
          </cell>
          <cell r="F151">
            <v>2</v>
          </cell>
          <cell r="G151">
            <v>19</v>
          </cell>
          <cell r="H151">
            <v>1</v>
          </cell>
          <cell r="I151">
            <v>1274</v>
          </cell>
          <cell r="J151">
            <v>0.745</v>
          </cell>
          <cell r="K151">
            <v>1.377</v>
          </cell>
        </row>
        <row r="152">
          <cell r="A152" t="str">
            <v>OAS1_0292_MR1</v>
          </cell>
          <cell r="B152" t="str">
            <v>F</v>
          </cell>
          <cell r="C152" t="str">
            <v>R</v>
          </cell>
          <cell r="D152">
            <v>64</v>
          </cell>
          <cell r="E152">
            <v>4</v>
          </cell>
          <cell r="F152">
            <v>2</v>
          </cell>
          <cell r="G152">
            <v>30</v>
          </cell>
          <cell r="H152">
            <v>0</v>
          </cell>
          <cell r="I152">
            <v>1415</v>
          </cell>
          <cell r="J152">
            <v>0.76600000000000001</v>
          </cell>
          <cell r="K152">
            <v>1.24</v>
          </cell>
        </row>
        <row r="153">
          <cell r="A153" t="str">
            <v>OAS1_0293_MR1</v>
          </cell>
          <cell r="B153" t="str">
            <v>F</v>
          </cell>
          <cell r="C153" t="str">
            <v>R</v>
          </cell>
          <cell r="D153">
            <v>69</v>
          </cell>
          <cell r="E153">
            <v>1</v>
          </cell>
          <cell r="F153">
            <v>2</v>
          </cell>
          <cell r="G153">
            <v>26</v>
          </cell>
          <cell r="H153">
            <v>0</v>
          </cell>
          <cell r="I153">
            <v>1384</v>
          </cell>
          <cell r="J153">
            <v>0.78300000000000003</v>
          </cell>
          <cell r="K153">
            <v>1.268</v>
          </cell>
        </row>
        <row r="154">
          <cell r="A154" t="str">
            <v>OAS1_0298_MR1</v>
          </cell>
          <cell r="B154" t="str">
            <v>F</v>
          </cell>
          <cell r="C154" t="str">
            <v>R</v>
          </cell>
          <cell r="D154">
            <v>72</v>
          </cell>
          <cell r="E154">
            <v>4</v>
          </cell>
          <cell r="F154">
            <v>3</v>
          </cell>
          <cell r="G154">
            <v>24</v>
          </cell>
          <cell r="H154">
            <v>0.5</v>
          </cell>
          <cell r="I154">
            <v>1354</v>
          </cell>
          <cell r="J154">
            <v>0.73799999999999999</v>
          </cell>
          <cell r="K154">
            <v>1.296</v>
          </cell>
        </row>
        <row r="155">
          <cell r="A155" t="str">
            <v>OAS1_0299_MR1</v>
          </cell>
          <cell r="B155" t="str">
            <v>F</v>
          </cell>
          <cell r="C155" t="str">
            <v>R</v>
          </cell>
          <cell r="D155">
            <v>90</v>
          </cell>
          <cell r="E155">
            <v>2</v>
          </cell>
          <cell r="F155">
            <v>3</v>
          </cell>
          <cell r="G155">
            <v>29</v>
          </cell>
          <cell r="H155">
            <v>0</v>
          </cell>
          <cell r="I155">
            <v>1475</v>
          </cell>
          <cell r="J155">
            <v>0.67100000000000004</v>
          </cell>
          <cell r="K155">
            <v>1.19</v>
          </cell>
        </row>
        <row r="156">
          <cell r="A156" t="str">
            <v>OAS1_0300_MR1</v>
          </cell>
          <cell r="B156" t="str">
            <v>M</v>
          </cell>
          <cell r="C156" t="str">
            <v>R</v>
          </cell>
          <cell r="D156">
            <v>68</v>
          </cell>
          <cell r="E156">
            <v>3</v>
          </cell>
          <cell r="F156">
            <v>2</v>
          </cell>
          <cell r="G156">
            <v>30</v>
          </cell>
          <cell r="H156">
            <v>0.5</v>
          </cell>
          <cell r="I156">
            <v>1556</v>
          </cell>
          <cell r="J156">
            <v>0.72299999999999998</v>
          </cell>
          <cell r="K156">
            <v>1.1279999999999999</v>
          </cell>
        </row>
        <row r="157">
          <cell r="A157" t="str">
            <v>OAS1_0301_MR1</v>
          </cell>
          <cell r="B157" t="str">
            <v>F</v>
          </cell>
          <cell r="C157" t="str">
            <v>R</v>
          </cell>
          <cell r="D157">
            <v>90</v>
          </cell>
          <cell r="E157">
            <v>3</v>
          </cell>
          <cell r="F157">
            <v>2</v>
          </cell>
          <cell r="G157">
            <v>28</v>
          </cell>
          <cell r="H157">
            <v>0</v>
          </cell>
          <cell r="I157">
            <v>1495</v>
          </cell>
          <cell r="J157">
            <v>0.76100000000000001</v>
          </cell>
          <cell r="K157">
            <v>1.1739999999999999</v>
          </cell>
        </row>
        <row r="158">
          <cell r="A158" t="str">
            <v>OAS1_0303_MR1</v>
          </cell>
          <cell r="B158" t="str">
            <v>F</v>
          </cell>
          <cell r="C158" t="str">
            <v>R</v>
          </cell>
          <cell r="D158">
            <v>67</v>
          </cell>
          <cell r="E158">
            <v>2</v>
          </cell>
          <cell r="F158">
            <v>4</v>
          </cell>
          <cell r="G158">
            <v>30</v>
          </cell>
          <cell r="H158">
            <v>0</v>
          </cell>
          <cell r="I158">
            <v>1221</v>
          </cell>
          <cell r="J158">
            <v>0.83099999999999996</v>
          </cell>
          <cell r="K158">
            <v>1.4379999999999999</v>
          </cell>
        </row>
        <row r="159">
          <cell r="A159" t="str">
            <v>OAS1_0304_MR1</v>
          </cell>
          <cell r="B159" t="str">
            <v>M</v>
          </cell>
          <cell r="C159" t="str">
            <v>R</v>
          </cell>
          <cell r="D159">
            <v>84</v>
          </cell>
          <cell r="E159">
            <v>3</v>
          </cell>
          <cell r="F159">
            <v>3</v>
          </cell>
          <cell r="G159">
            <v>29</v>
          </cell>
          <cell r="H159">
            <v>0.5</v>
          </cell>
          <cell r="I159">
            <v>1497</v>
          </cell>
          <cell r="J159">
            <v>0.69299999999999995</v>
          </cell>
          <cell r="K159">
            <v>1.1719999999999999</v>
          </cell>
        </row>
        <row r="160">
          <cell r="A160" t="str">
            <v>OAS1_0307_MR1</v>
          </cell>
          <cell r="B160" t="str">
            <v>M</v>
          </cell>
          <cell r="C160" t="str">
            <v>R</v>
          </cell>
          <cell r="D160">
            <v>67</v>
          </cell>
          <cell r="E160">
            <v>4</v>
          </cell>
          <cell r="F160">
            <v>2</v>
          </cell>
          <cell r="G160">
            <v>23</v>
          </cell>
          <cell r="H160">
            <v>0.5</v>
          </cell>
          <cell r="I160">
            <v>1399</v>
          </cell>
          <cell r="J160">
            <v>0.73499999999999999</v>
          </cell>
          <cell r="K160">
            <v>1.2549999999999999</v>
          </cell>
        </row>
        <row r="161">
          <cell r="A161" t="str">
            <v>OAS1_0308_MR1</v>
          </cell>
          <cell r="B161" t="str">
            <v>F</v>
          </cell>
          <cell r="C161" t="str">
            <v>R</v>
          </cell>
          <cell r="D161">
            <v>78</v>
          </cell>
          <cell r="E161">
            <v>3</v>
          </cell>
          <cell r="F161">
            <v>3</v>
          </cell>
          <cell r="G161">
            <v>15</v>
          </cell>
          <cell r="H161">
            <v>2</v>
          </cell>
          <cell r="I161">
            <v>1401</v>
          </cell>
          <cell r="J161">
            <v>0.70299999999999996</v>
          </cell>
          <cell r="K161">
            <v>1.2529999999999999</v>
          </cell>
        </row>
        <row r="162">
          <cell r="A162" t="str">
            <v>OAS1_0309_MR1</v>
          </cell>
          <cell r="B162" t="str">
            <v>F</v>
          </cell>
          <cell r="C162" t="str">
            <v>R</v>
          </cell>
          <cell r="D162">
            <v>54</v>
          </cell>
          <cell r="E162">
            <v>2</v>
          </cell>
          <cell r="F162">
            <v>2</v>
          </cell>
          <cell r="G162">
            <v>30</v>
          </cell>
          <cell r="H162">
            <v>0</v>
          </cell>
          <cell r="I162">
            <v>1441</v>
          </cell>
          <cell r="J162">
            <v>0.78600000000000003</v>
          </cell>
          <cell r="K162">
            <v>1.218</v>
          </cell>
        </row>
        <row r="163">
          <cell r="A163" t="str">
            <v>OAS1_0312_MR1</v>
          </cell>
          <cell r="B163" t="str">
            <v>F</v>
          </cell>
          <cell r="C163" t="str">
            <v>R</v>
          </cell>
          <cell r="D163">
            <v>73</v>
          </cell>
          <cell r="E163">
            <v>3</v>
          </cell>
          <cell r="G163">
            <v>26</v>
          </cell>
          <cell r="H163">
            <v>0.5</v>
          </cell>
          <cell r="I163">
            <v>1311</v>
          </cell>
          <cell r="J163">
            <v>0.75600000000000001</v>
          </cell>
          <cell r="K163">
            <v>1.339</v>
          </cell>
        </row>
        <row r="164">
          <cell r="A164" t="str">
            <v>OAS1_0315_MR1</v>
          </cell>
          <cell r="B164" t="str">
            <v>M</v>
          </cell>
          <cell r="C164" t="str">
            <v>R</v>
          </cell>
          <cell r="D164">
            <v>77</v>
          </cell>
          <cell r="E164">
            <v>5</v>
          </cell>
          <cell r="F164">
            <v>1</v>
          </cell>
          <cell r="G164">
            <v>25</v>
          </cell>
          <cell r="H164">
            <v>0.5</v>
          </cell>
          <cell r="I164">
            <v>1604</v>
          </cell>
          <cell r="J164">
            <v>0.77300000000000002</v>
          </cell>
          <cell r="K164">
            <v>1.0940000000000001</v>
          </cell>
        </row>
        <row r="165">
          <cell r="A165" t="str">
            <v>OAS1_0316_MR1</v>
          </cell>
          <cell r="B165" t="str">
            <v>F</v>
          </cell>
          <cell r="C165" t="str">
            <v>R</v>
          </cell>
          <cell r="D165">
            <v>72</v>
          </cell>
          <cell r="E165">
            <v>4</v>
          </cell>
          <cell r="F165">
            <v>2</v>
          </cell>
          <cell r="G165">
            <v>22</v>
          </cell>
          <cell r="H165">
            <v>1</v>
          </cell>
          <cell r="I165">
            <v>1493</v>
          </cell>
          <cell r="J165">
            <v>0.69</v>
          </cell>
          <cell r="K165">
            <v>1.1759999999999999</v>
          </cell>
        </row>
        <row r="166">
          <cell r="A166" t="str">
            <v>OAS1_0317_MR1</v>
          </cell>
          <cell r="B166" t="str">
            <v>M</v>
          </cell>
          <cell r="C166" t="str">
            <v>R</v>
          </cell>
          <cell r="D166">
            <v>86</v>
          </cell>
          <cell r="E166">
            <v>4</v>
          </cell>
          <cell r="F166">
            <v>1</v>
          </cell>
          <cell r="G166">
            <v>26</v>
          </cell>
          <cell r="H166">
            <v>0</v>
          </cell>
          <cell r="I166">
            <v>1501</v>
          </cell>
          <cell r="J166">
            <v>0.70199999999999996</v>
          </cell>
          <cell r="K166">
            <v>1.169</v>
          </cell>
        </row>
        <row r="167">
          <cell r="A167" t="str">
            <v>OAS1_0322_MR1</v>
          </cell>
          <cell r="B167" t="str">
            <v>F</v>
          </cell>
          <cell r="C167" t="str">
            <v>R</v>
          </cell>
          <cell r="D167">
            <v>65</v>
          </cell>
          <cell r="E167">
            <v>3</v>
          </cell>
          <cell r="F167">
            <v>4</v>
          </cell>
          <cell r="G167">
            <v>29</v>
          </cell>
          <cell r="H167">
            <v>0</v>
          </cell>
          <cell r="I167">
            <v>1335</v>
          </cell>
          <cell r="J167">
            <v>0.77600000000000002</v>
          </cell>
          <cell r="K167">
            <v>1.3149999999999999</v>
          </cell>
        </row>
        <row r="168">
          <cell r="A168" t="str">
            <v>OAS1_0323_MR1</v>
          </cell>
          <cell r="B168" t="str">
            <v>F</v>
          </cell>
          <cell r="C168" t="str">
            <v>R</v>
          </cell>
          <cell r="D168">
            <v>50</v>
          </cell>
          <cell r="E168">
            <v>5</v>
          </cell>
          <cell r="F168">
            <v>1</v>
          </cell>
          <cell r="G168">
            <v>30</v>
          </cell>
          <cell r="H168">
            <v>0</v>
          </cell>
          <cell r="I168">
            <v>1370</v>
          </cell>
          <cell r="J168">
            <v>0.82599999999999996</v>
          </cell>
          <cell r="K168">
            <v>1.2809999999999999</v>
          </cell>
        </row>
        <row r="169">
          <cell r="A169" t="str">
            <v>OAS1_0326_MR1</v>
          </cell>
          <cell r="B169" t="str">
            <v>F</v>
          </cell>
          <cell r="C169" t="str">
            <v>R</v>
          </cell>
          <cell r="D169">
            <v>73</v>
          </cell>
          <cell r="E169">
            <v>3</v>
          </cell>
          <cell r="F169">
            <v>4</v>
          </cell>
          <cell r="G169">
            <v>29</v>
          </cell>
          <cell r="H169">
            <v>0</v>
          </cell>
          <cell r="I169">
            <v>1272</v>
          </cell>
          <cell r="J169">
            <v>0.7</v>
          </cell>
          <cell r="K169">
            <v>1.38</v>
          </cell>
        </row>
        <row r="170">
          <cell r="A170" t="str">
            <v>OAS1_0329_MR1</v>
          </cell>
          <cell r="B170" t="str">
            <v>F</v>
          </cell>
          <cell r="C170" t="str">
            <v>R</v>
          </cell>
          <cell r="D170">
            <v>80</v>
          </cell>
          <cell r="E170">
            <v>2</v>
          </cell>
          <cell r="F170">
            <v>3</v>
          </cell>
          <cell r="G170">
            <v>29</v>
          </cell>
          <cell r="H170">
            <v>0.5</v>
          </cell>
          <cell r="I170">
            <v>1209</v>
          </cell>
          <cell r="J170">
            <v>0.76</v>
          </cell>
          <cell r="K170">
            <v>1.4510000000000001</v>
          </cell>
        </row>
        <row r="171">
          <cell r="A171" t="str">
            <v>OAS1_0330_MR1</v>
          </cell>
          <cell r="B171" t="str">
            <v>F</v>
          </cell>
          <cell r="C171" t="str">
            <v>R</v>
          </cell>
          <cell r="D171">
            <v>80</v>
          </cell>
          <cell r="E171">
            <v>1</v>
          </cell>
          <cell r="F171">
            <v>5</v>
          </cell>
          <cell r="G171">
            <v>27</v>
          </cell>
          <cell r="H171">
            <v>0</v>
          </cell>
          <cell r="I171">
            <v>1381</v>
          </cell>
          <cell r="J171">
            <v>0.752</v>
          </cell>
          <cell r="K171">
            <v>1.27</v>
          </cell>
        </row>
        <row r="172">
          <cell r="A172" t="str">
            <v>OAS1_0332_MR1</v>
          </cell>
          <cell r="B172" t="str">
            <v>M</v>
          </cell>
          <cell r="C172" t="str">
            <v>R</v>
          </cell>
          <cell r="D172">
            <v>72</v>
          </cell>
          <cell r="E172">
            <v>1</v>
          </cell>
          <cell r="F172">
            <v>3</v>
          </cell>
          <cell r="G172">
            <v>29</v>
          </cell>
          <cell r="H172">
            <v>0</v>
          </cell>
          <cell r="I172">
            <v>1734</v>
          </cell>
          <cell r="J172">
            <v>0.76200000000000001</v>
          </cell>
          <cell r="K172">
            <v>1.012</v>
          </cell>
        </row>
        <row r="173">
          <cell r="A173" t="str">
            <v>OAS1_0335_MR1</v>
          </cell>
          <cell r="B173" t="str">
            <v>F</v>
          </cell>
          <cell r="C173" t="str">
            <v>R</v>
          </cell>
          <cell r="D173">
            <v>80</v>
          </cell>
          <cell r="E173">
            <v>1</v>
          </cell>
          <cell r="F173">
            <v>4</v>
          </cell>
          <cell r="G173">
            <v>27</v>
          </cell>
          <cell r="H173">
            <v>0.5</v>
          </cell>
          <cell r="I173">
            <v>1654</v>
          </cell>
          <cell r="J173">
            <v>0.67800000000000005</v>
          </cell>
          <cell r="K173">
            <v>1.0609999999999999</v>
          </cell>
        </row>
        <row r="174">
          <cell r="A174" t="str">
            <v>OAS1_0337_MR1</v>
          </cell>
          <cell r="B174" t="str">
            <v>M</v>
          </cell>
          <cell r="C174" t="str">
            <v>R</v>
          </cell>
          <cell r="D174">
            <v>81</v>
          </cell>
          <cell r="E174">
            <v>1</v>
          </cell>
          <cell r="F174">
            <v>4</v>
          </cell>
          <cell r="G174">
            <v>28</v>
          </cell>
          <cell r="H174">
            <v>0</v>
          </cell>
          <cell r="I174">
            <v>1750</v>
          </cell>
          <cell r="J174">
            <v>0.67600000000000005</v>
          </cell>
          <cell r="K174">
            <v>1.0029999999999999</v>
          </cell>
        </row>
        <row r="175">
          <cell r="A175" t="str">
            <v>OAS1_0338_MR1</v>
          </cell>
          <cell r="B175" t="str">
            <v>M</v>
          </cell>
          <cell r="C175" t="str">
            <v>R</v>
          </cell>
          <cell r="D175">
            <v>77</v>
          </cell>
          <cell r="E175">
            <v>4</v>
          </cell>
          <cell r="F175">
            <v>1</v>
          </cell>
          <cell r="G175">
            <v>29</v>
          </cell>
          <cell r="H175">
            <v>0</v>
          </cell>
          <cell r="I175">
            <v>1818</v>
          </cell>
          <cell r="J175">
            <v>0.73599999999999999</v>
          </cell>
          <cell r="K175">
            <v>0.96499999999999997</v>
          </cell>
        </row>
        <row r="176">
          <cell r="A176" t="str">
            <v>OAS1_0339_MR1</v>
          </cell>
          <cell r="B176" t="str">
            <v>F</v>
          </cell>
          <cell r="C176" t="str">
            <v>R</v>
          </cell>
          <cell r="D176">
            <v>79</v>
          </cell>
          <cell r="E176">
            <v>2</v>
          </cell>
          <cell r="G176">
            <v>24</v>
          </cell>
          <cell r="H176">
            <v>0.5</v>
          </cell>
          <cell r="I176">
            <v>1211</v>
          </cell>
          <cell r="J176">
            <v>0.69399999999999995</v>
          </cell>
          <cell r="K176">
            <v>1.4490000000000001</v>
          </cell>
        </row>
        <row r="177">
          <cell r="A177" t="str">
            <v>OAS1_0341_MR1</v>
          </cell>
          <cell r="B177" t="str">
            <v>F</v>
          </cell>
          <cell r="C177" t="str">
            <v>R</v>
          </cell>
          <cell r="D177">
            <v>71</v>
          </cell>
          <cell r="E177">
            <v>2</v>
          </cell>
          <cell r="F177">
            <v>4</v>
          </cell>
          <cell r="G177">
            <v>30</v>
          </cell>
          <cell r="H177">
            <v>0</v>
          </cell>
          <cell r="I177">
            <v>1479</v>
          </cell>
          <cell r="J177">
            <v>0.77200000000000002</v>
          </cell>
          <cell r="K177">
            <v>1.1870000000000001</v>
          </cell>
        </row>
        <row r="178">
          <cell r="A178" t="str">
            <v>OAS1_0342_MR1</v>
          </cell>
          <cell r="B178" t="str">
            <v>F</v>
          </cell>
          <cell r="C178" t="str">
            <v>R</v>
          </cell>
          <cell r="D178">
            <v>88</v>
          </cell>
          <cell r="E178">
            <v>2</v>
          </cell>
          <cell r="F178">
            <v>3</v>
          </cell>
          <cell r="G178">
            <v>28</v>
          </cell>
          <cell r="H178">
            <v>0</v>
          </cell>
          <cell r="I178">
            <v>1370</v>
          </cell>
          <cell r="J178">
            <v>0.76500000000000001</v>
          </cell>
          <cell r="K178">
            <v>1.2809999999999999</v>
          </cell>
        </row>
        <row r="179">
          <cell r="A179" t="str">
            <v>OAS1_0343_MR1</v>
          </cell>
          <cell r="B179" t="str">
            <v>M</v>
          </cell>
          <cell r="C179" t="str">
            <v>R</v>
          </cell>
          <cell r="D179">
            <v>68</v>
          </cell>
          <cell r="E179">
            <v>3</v>
          </cell>
          <cell r="F179">
            <v>3</v>
          </cell>
          <cell r="G179">
            <v>30</v>
          </cell>
          <cell r="H179">
            <v>0</v>
          </cell>
          <cell r="I179">
            <v>1441</v>
          </cell>
          <cell r="J179">
            <v>0.81100000000000005</v>
          </cell>
          <cell r="K179">
            <v>1.2170000000000001</v>
          </cell>
        </row>
        <row r="180">
          <cell r="A180" t="str">
            <v>OAS1_0345_MR1</v>
          </cell>
          <cell r="B180" t="str">
            <v>F</v>
          </cell>
          <cell r="C180" t="str">
            <v>R</v>
          </cell>
          <cell r="D180">
            <v>54</v>
          </cell>
          <cell r="E180">
            <v>4</v>
          </cell>
          <cell r="F180">
            <v>2</v>
          </cell>
          <cell r="G180">
            <v>30</v>
          </cell>
          <cell r="H180">
            <v>0</v>
          </cell>
          <cell r="I180">
            <v>1389</v>
          </cell>
          <cell r="J180">
            <v>0.83099999999999996</v>
          </cell>
          <cell r="K180">
            <v>1.264</v>
          </cell>
        </row>
        <row r="181">
          <cell r="A181" t="str">
            <v>OAS1_0351_MR1</v>
          </cell>
          <cell r="B181" t="str">
            <v>M</v>
          </cell>
          <cell r="C181" t="str">
            <v>R</v>
          </cell>
          <cell r="D181">
            <v>86</v>
          </cell>
          <cell r="E181">
            <v>1</v>
          </cell>
          <cell r="F181">
            <v>4</v>
          </cell>
          <cell r="G181">
            <v>15</v>
          </cell>
          <cell r="H181">
            <v>2</v>
          </cell>
          <cell r="I181">
            <v>1512</v>
          </cell>
          <cell r="J181">
            <v>0.66500000000000004</v>
          </cell>
          <cell r="K181">
            <v>1.161</v>
          </cell>
        </row>
        <row r="182">
          <cell r="A182" t="str">
            <v>OAS1_0352_MR1</v>
          </cell>
          <cell r="B182" t="str">
            <v>F</v>
          </cell>
          <cell r="C182" t="str">
            <v>R</v>
          </cell>
          <cell r="D182">
            <v>81</v>
          </cell>
          <cell r="E182">
            <v>5</v>
          </cell>
          <cell r="F182">
            <v>2</v>
          </cell>
          <cell r="G182">
            <v>26</v>
          </cell>
          <cell r="H182">
            <v>0.5</v>
          </cell>
          <cell r="I182">
            <v>1174</v>
          </cell>
          <cell r="J182">
            <v>0.74299999999999999</v>
          </cell>
          <cell r="K182">
            <v>1.4950000000000001</v>
          </cell>
        </row>
        <row r="183">
          <cell r="A183" t="str">
            <v>OAS1_0354_MR1</v>
          </cell>
          <cell r="B183" t="str">
            <v>M</v>
          </cell>
          <cell r="C183" t="str">
            <v>R</v>
          </cell>
          <cell r="D183">
            <v>74</v>
          </cell>
          <cell r="E183">
            <v>1</v>
          </cell>
          <cell r="F183">
            <v>3</v>
          </cell>
          <cell r="G183">
            <v>26</v>
          </cell>
          <cell r="H183">
            <v>0</v>
          </cell>
          <cell r="I183">
            <v>1367</v>
          </cell>
          <cell r="J183">
            <v>0.77600000000000002</v>
          </cell>
          <cell r="K183">
            <v>1.284</v>
          </cell>
        </row>
        <row r="184">
          <cell r="A184" t="str">
            <v>OAS1_0355_MR1</v>
          </cell>
          <cell r="B184" t="str">
            <v>F</v>
          </cell>
          <cell r="C184" t="str">
            <v>R</v>
          </cell>
          <cell r="D184">
            <v>73</v>
          </cell>
          <cell r="E184">
            <v>4</v>
          </cell>
          <cell r="F184">
            <v>2</v>
          </cell>
          <cell r="G184">
            <v>29</v>
          </cell>
          <cell r="H184">
            <v>0</v>
          </cell>
          <cell r="I184">
            <v>1123</v>
          </cell>
          <cell r="J184">
            <v>0.79</v>
          </cell>
          <cell r="K184">
            <v>1.5629999999999999</v>
          </cell>
        </row>
        <row r="185">
          <cell r="A185" t="str">
            <v>OAS1_0356_MR1</v>
          </cell>
          <cell r="B185" t="str">
            <v>F</v>
          </cell>
          <cell r="C185" t="str">
            <v>R</v>
          </cell>
          <cell r="D185">
            <v>68</v>
          </cell>
          <cell r="E185">
            <v>3</v>
          </cell>
          <cell r="F185">
            <v>2</v>
          </cell>
          <cell r="G185">
            <v>30</v>
          </cell>
          <cell r="H185">
            <v>0</v>
          </cell>
          <cell r="I185">
            <v>1506</v>
          </cell>
          <cell r="J185">
            <v>0.74</v>
          </cell>
          <cell r="K185">
            <v>1.165</v>
          </cell>
        </row>
        <row r="186">
          <cell r="A186" t="str">
            <v>OAS1_0357_MR1</v>
          </cell>
          <cell r="B186" t="str">
            <v>F</v>
          </cell>
          <cell r="C186" t="str">
            <v>R</v>
          </cell>
          <cell r="D186">
            <v>55</v>
          </cell>
          <cell r="E186">
            <v>4</v>
          </cell>
          <cell r="F186">
            <v>3</v>
          </cell>
          <cell r="G186">
            <v>30</v>
          </cell>
          <cell r="H186">
            <v>0</v>
          </cell>
          <cell r="I186">
            <v>1450</v>
          </cell>
          <cell r="J186">
            <v>0.82</v>
          </cell>
          <cell r="K186">
            <v>1.21</v>
          </cell>
        </row>
        <row r="187">
          <cell r="A187" t="str">
            <v>OAS1_0358_MR1</v>
          </cell>
          <cell r="B187" t="str">
            <v>M</v>
          </cell>
          <cell r="C187" t="str">
            <v>R</v>
          </cell>
          <cell r="D187">
            <v>65</v>
          </cell>
          <cell r="E187">
            <v>3</v>
          </cell>
          <cell r="F187">
            <v>3</v>
          </cell>
          <cell r="G187">
            <v>29</v>
          </cell>
          <cell r="H187">
            <v>0</v>
          </cell>
          <cell r="I187">
            <v>1362</v>
          </cell>
          <cell r="J187">
            <v>0.83899999999999997</v>
          </cell>
          <cell r="K187">
            <v>1.2889999999999999</v>
          </cell>
        </row>
        <row r="188">
          <cell r="A188" t="str">
            <v>OAS1_0362_MR1</v>
          </cell>
          <cell r="B188" t="str">
            <v>F</v>
          </cell>
          <cell r="C188" t="str">
            <v>R</v>
          </cell>
          <cell r="D188">
            <v>63</v>
          </cell>
          <cell r="E188">
            <v>3</v>
          </cell>
          <cell r="G188">
            <v>14</v>
          </cell>
          <cell r="H188">
            <v>0.5</v>
          </cell>
          <cell r="I188">
            <v>1439</v>
          </cell>
          <cell r="J188">
            <v>0.71599999999999997</v>
          </cell>
          <cell r="K188">
            <v>1.2190000000000001</v>
          </cell>
        </row>
        <row r="189">
          <cell r="A189" t="str">
            <v>OAS1_0363_MR1</v>
          </cell>
          <cell r="B189" t="str">
            <v>M</v>
          </cell>
          <cell r="C189" t="str">
            <v>R</v>
          </cell>
          <cell r="D189">
            <v>87</v>
          </cell>
          <cell r="E189">
            <v>4</v>
          </cell>
          <cell r="F189">
            <v>2</v>
          </cell>
          <cell r="G189">
            <v>30</v>
          </cell>
          <cell r="H189">
            <v>0</v>
          </cell>
          <cell r="I189">
            <v>1398</v>
          </cell>
          <cell r="J189">
            <v>0.70199999999999996</v>
          </cell>
          <cell r="K189">
            <v>1.2549999999999999</v>
          </cell>
        </row>
        <row r="190">
          <cell r="A190" t="str">
            <v>OAS1_0365_MR1</v>
          </cell>
          <cell r="B190" t="str">
            <v>M</v>
          </cell>
          <cell r="C190" t="str">
            <v>R</v>
          </cell>
          <cell r="D190">
            <v>74</v>
          </cell>
          <cell r="E190">
            <v>5</v>
          </cell>
          <cell r="F190">
            <v>2</v>
          </cell>
          <cell r="G190">
            <v>30</v>
          </cell>
          <cell r="H190">
            <v>0</v>
          </cell>
          <cell r="I190">
            <v>1806</v>
          </cell>
          <cell r="J190">
            <v>0.754</v>
          </cell>
          <cell r="K190">
            <v>0.97199999999999998</v>
          </cell>
        </row>
        <row r="191">
          <cell r="A191" t="str">
            <v>OAS1_0366_MR1</v>
          </cell>
          <cell r="B191" t="str">
            <v>F</v>
          </cell>
          <cell r="C191" t="str">
            <v>R</v>
          </cell>
          <cell r="D191">
            <v>45</v>
          </cell>
          <cell r="E191">
            <v>5</v>
          </cell>
          <cell r="F191">
            <v>2</v>
          </cell>
          <cell r="G191">
            <v>29</v>
          </cell>
          <cell r="H191">
            <v>0</v>
          </cell>
          <cell r="I191">
            <v>1549</v>
          </cell>
          <cell r="J191">
            <v>0.81299999999999994</v>
          </cell>
          <cell r="K191">
            <v>1.133</v>
          </cell>
        </row>
        <row r="192">
          <cell r="A192" t="str">
            <v>OAS1_0367_MR1</v>
          </cell>
          <cell r="B192" t="str">
            <v>F</v>
          </cell>
          <cell r="C192" t="str">
            <v>R</v>
          </cell>
          <cell r="D192">
            <v>46</v>
          </cell>
          <cell r="E192">
            <v>2</v>
          </cell>
          <cell r="F192">
            <v>2</v>
          </cell>
          <cell r="G192">
            <v>28</v>
          </cell>
          <cell r="H192">
            <v>0</v>
          </cell>
          <cell r="I192">
            <v>1161</v>
          </cell>
          <cell r="J192">
            <v>0.84099999999999997</v>
          </cell>
          <cell r="K192">
            <v>1.5109999999999999</v>
          </cell>
        </row>
        <row r="193">
          <cell r="A193" t="str">
            <v>OAS1_0369_MR1</v>
          </cell>
          <cell r="B193" t="str">
            <v>F</v>
          </cell>
          <cell r="C193" t="str">
            <v>R</v>
          </cell>
          <cell r="D193">
            <v>73</v>
          </cell>
          <cell r="E193">
            <v>4</v>
          </cell>
          <cell r="F193">
            <v>1</v>
          </cell>
          <cell r="G193">
            <v>28</v>
          </cell>
          <cell r="H193">
            <v>0</v>
          </cell>
          <cell r="I193">
            <v>1295</v>
          </cell>
          <cell r="J193">
            <v>0.77200000000000002</v>
          </cell>
          <cell r="K193">
            <v>1.3560000000000001</v>
          </cell>
        </row>
        <row r="194">
          <cell r="A194" t="str">
            <v>OAS1_0371_MR1</v>
          </cell>
          <cell r="B194" t="str">
            <v>F</v>
          </cell>
          <cell r="C194" t="str">
            <v>R</v>
          </cell>
          <cell r="D194">
            <v>70</v>
          </cell>
          <cell r="E194">
            <v>3</v>
          </cell>
          <cell r="F194">
            <v>4</v>
          </cell>
          <cell r="G194">
            <v>30</v>
          </cell>
          <cell r="H194">
            <v>0</v>
          </cell>
          <cell r="I194">
            <v>1361</v>
          </cell>
          <cell r="J194">
            <v>0.78300000000000003</v>
          </cell>
          <cell r="K194">
            <v>1.29</v>
          </cell>
        </row>
        <row r="195">
          <cell r="A195" t="str">
            <v>OAS1_0372_MR1</v>
          </cell>
          <cell r="B195" t="str">
            <v>M</v>
          </cell>
          <cell r="C195" t="str">
            <v>R</v>
          </cell>
          <cell r="D195">
            <v>59</v>
          </cell>
          <cell r="E195">
            <v>3</v>
          </cell>
          <cell r="F195">
            <v>2</v>
          </cell>
          <cell r="G195">
            <v>29</v>
          </cell>
          <cell r="H195">
            <v>0</v>
          </cell>
          <cell r="I195">
            <v>1596</v>
          </cell>
          <cell r="J195">
            <v>0.81699999999999995</v>
          </cell>
          <cell r="K195">
            <v>1.1000000000000001</v>
          </cell>
        </row>
        <row r="196">
          <cell r="A196" t="str">
            <v>OAS1_0373_MR1</v>
          </cell>
          <cell r="B196" t="str">
            <v>F</v>
          </cell>
          <cell r="C196" t="str">
            <v>R</v>
          </cell>
          <cell r="D196">
            <v>80</v>
          </cell>
          <cell r="E196">
            <v>3</v>
          </cell>
          <cell r="F196">
            <v>2</v>
          </cell>
          <cell r="G196">
            <v>20</v>
          </cell>
          <cell r="H196">
            <v>1</v>
          </cell>
          <cell r="I196">
            <v>1732</v>
          </cell>
          <cell r="J196">
            <v>0.69199999999999995</v>
          </cell>
          <cell r="K196">
            <v>1.0129999999999999</v>
          </cell>
        </row>
        <row r="197">
          <cell r="A197" t="str">
            <v>OAS1_0374_MR1</v>
          </cell>
          <cell r="B197" t="str">
            <v>F</v>
          </cell>
          <cell r="C197" t="str">
            <v>R</v>
          </cell>
          <cell r="D197">
            <v>73</v>
          </cell>
          <cell r="E197">
            <v>3</v>
          </cell>
          <cell r="F197">
            <v>3</v>
          </cell>
          <cell r="G197">
            <v>29</v>
          </cell>
          <cell r="H197">
            <v>0.5</v>
          </cell>
          <cell r="I197">
            <v>1238</v>
          </cell>
          <cell r="J197">
            <v>0.76</v>
          </cell>
          <cell r="K197">
            <v>1.4179999999999999</v>
          </cell>
        </row>
        <row r="198">
          <cell r="A198" t="str">
            <v>OAS1_0378_MR1</v>
          </cell>
          <cell r="B198" t="str">
            <v>F</v>
          </cell>
          <cell r="C198" t="str">
            <v>R</v>
          </cell>
          <cell r="D198">
            <v>58</v>
          </cell>
          <cell r="E198">
            <v>2</v>
          </cell>
          <cell r="F198">
            <v>2</v>
          </cell>
          <cell r="G198">
            <v>30</v>
          </cell>
          <cell r="H198">
            <v>0</v>
          </cell>
          <cell r="I198">
            <v>1418</v>
          </cell>
          <cell r="J198">
            <v>0.82099999999999995</v>
          </cell>
          <cell r="K198">
            <v>1.238</v>
          </cell>
        </row>
        <row r="199">
          <cell r="A199" t="str">
            <v>OAS1_0380_MR1</v>
          </cell>
          <cell r="B199" t="str">
            <v>F</v>
          </cell>
          <cell r="C199" t="str">
            <v>R</v>
          </cell>
          <cell r="D199">
            <v>83</v>
          </cell>
          <cell r="E199">
            <v>1</v>
          </cell>
          <cell r="F199">
            <v>5</v>
          </cell>
          <cell r="G199">
            <v>18</v>
          </cell>
          <cell r="H199">
            <v>0.5</v>
          </cell>
          <cell r="I199">
            <v>1313</v>
          </cell>
          <cell r="J199">
            <v>0.70499999999999996</v>
          </cell>
          <cell r="K199">
            <v>1.337</v>
          </cell>
        </row>
        <row r="200">
          <cell r="A200" t="str">
            <v>OAS1_0381_MR1</v>
          </cell>
          <cell r="B200" t="str">
            <v>M</v>
          </cell>
          <cell r="C200" t="str">
            <v>R</v>
          </cell>
          <cell r="D200">
            <v>59</v>
          </cell>
          <cell r="E200">
            <v>4</v>
          </cell>
          <cell r="F200">
            <v>2</v>
          </cell>
          <cell r="G200">
            <v>29</v>
          </cell>
          <cell r="H200">
            <v>0</v>
          </cell>
          <cell r="I200">
            <v>1795</v>
          </cell>
          <cell r="J200">
            <v>0.80900000000000005</v>
          </cell>
          <cell r="K200">
            <v>0.97799999999999998</v>
          </cell>
        </row>
        <row r="201">
          <cell r="A201" t="str">
            <v>OAS1_0382_MR1</v>
          </cell>
          <cell r="B201" t="str">
            <v>F</v>
          </cell>
          <cell r="C201" t="str">
            <v>R</v>
          </cell>
          <cell r="D201">
            <v>67</v>
          </cell>
          <cell r="E201">
            <v>4</v>
          </cell>
          <cell r="G201">
            <v>15</v>
          </cell>
          <cell r="H201">
            <v>1</v>
          </cell>
          <cell r="I201">
            <v>1288</v>
          </cell>
          <cell r="J201">
            <v>0.76300000000000001</v>
          </cell>
          <cell r="K201">
            <v>1.3620000000000001</v>
          </cell>
        </row>
        <row r="202">
          <cell r="A202" t="str">
            <v>OAS1_0388_MR1</v>
          </cell>
          <cell r="B202" t="str">
            <v>F</v>
          </cell>
          <cell r="C202" t="str">
            <v>R</v>
          </cell>
          <cell r="D202">
            <v>77</v>
          </cell>
          <cell r="E202">
            <v>2</v>
          </cell>
          <cell r="F202">
            <v>4</v>
          </cell>
          <cell r="G202">
            <v>22</v>
          </cell>
          <cell r="H202">
            <v>1</v>
          </cell>
          <cell r="I202">
            <v>1350</v>
          </cell>
          <cell r="J202">
            <v>0.73599999999999999</v>
          </cell>
          <cell r="K202">
            <v>1.3</v>
          </cell>
        </row>
        <row r="203">
          <cell r="A203" t="str">
            <v>OAS1_0390_MR1</v>
          </cell>
          <cell r="B203" t="str">
            <v>M</v>
          </cell>
          <cell r="C203" t="str">
            <v>R</v>
          </cell>
          <cell r="D203">
            <v>69</v>
          </cell>
          <cell r="E203">
            <v>2</v>
          </cell>
          <cell r="F203">
            <v>2</v>
          </cell>
          <cell r="G203">
            <v>24</v>
          </cell>
          <cell r="H203">
            <v>0.5</v>
          </cell>
          <cell r="I203">
            <v>1480</v>
          </cell>
          <cell r="J203">
            <v>0.79400000000000004</v>
          </cell>
          <cell r="K203">
            <v>1.1859999999999999</v>
          </cell>
        </row>
        <row r="204">
          <cell r="A204" t="str">
            <v>OAS1_0398_MR1</v>
          </cell>
          <cell r="B204" t="str">
            <v>M</v>
          </cell>
          <cell r="C204" t="str">
            <v>R</v>
          </cell>
          <cell r="D204">
            <v>71</v>
          </cell>
          <cell r="E204">
            <v>5</v>
          </cell>
          <cell r="F204">
            <v>1</v>
          </cell>
          <cell r="G204">
            <v>30</v>
          </cell>
          <cell r="H204">
            <v>0</v>
          </cell>
          <cell r="I204">
            <v>1769</v>
          </cell>
          <cell r="J204">
            <v>0.71599999999999997</v>
          </cell>
          <cell r="K204">
            <v>0.99199999999999999</v>
          </cell>
        </row>
        <row r="205">
          <cell r="A205" t="str">
            <v>OAS1_0399_MR1</v>
          </cell>
          <cell r="B205" t="str">
            <v>M</v>
          </cell>
          <cell r="C205" t="str">
            <v>R</v>
          </cell>
          <cell r="D205">
            <v>78</v>
          </cell>
          <cell r="E205">
            <v>2</v>
          </cell>
          <cell r="G205">
            <v>29</v>
          </cell>
          <cell r="H205">
            <v>1</v>
          </cell>
          <cell r="I205">
            <v>1569</v>
          </cell>
          <cell r="J205">
            <v>0.70599999999999996</v>
          </cell>
          <cell r="K205">
            <v>1.119</v>
          </cell>
        </row>
        <row r="206">
          <cell r="A206" t="str">
            <v>OAS1_0400_MR1</v>
          </cell>
          <cell r="B206" t="str">
            <v>F</v>
          </cell>
          <cell r="C206" t="str">
            <v>R</v>
          </cell>
          <cell r="D206">
            <v>92</v>
          </cell>
          <cell r="E206">
            <v>5</v>
          </cell>
          <cell r="F206">
            <v>1</v>
          </cell>
          <cell r="G206">
            <v>25</v>
          </cell>
          <cell r="H206">
            <v>0.5</v>
          </cell>
          <cell r="I206">
            <v>1774</v>
          </cell>
          <cell r="J206">
            <v>0.64400000000000002</v>
          </cell>
          <cell r="K206">
            <v>0.98899999999999999</v>
          </cell>
        </row>
        <row r="207">
          <cell r="A207" t="str">
            <v>OAS1_0401_MR1</v>
          </cell>
          <cell r="B207" t="str">
            <v>F</v>
          </cell>
          <cell r="C207" t="str">
            <v>R</v>
          </cell>
          <cell r="D207">
            <v>54</v>
          </cell>
          <cell r="E207">
            <v>4</v>
          </cell>
          <cell r="F207">
            <v>3</v>
          </cell>
          <cell r="G207">
            <v>29</v>
          </cell>
          <cell r="H207">
            <v>0</v>
          </cell>
          <cell r="I207">
            <v>1287</v>
          </cell>
          <cell r="J207">
            <v>0.82699999999999996</v>
          </cell>
          <cell r="K207">
            <v>1.3640000000000001</v>
          </cell>
        </row>
        <row r="208">
          <cell r="A208" t="str">
            <v>OAS1_0402_MR1</v>
          </cell>
          <cell r="B208" t="str">
            <v>F</v>
          </cell>
          <cell r="C208" t="str">
            <v>R</v>
          </cell>
          <cell r="D208">
            <v>76</v>
          </cell>
          <cell r="E208">
            <v>3</v>
          </cell>
          <cell r="F208">
            <v>2</v>
          </cell>
          <cell r="G208">
            <v>30</v>
          </cell>
          <cell r="H208">
            <v>0.5</v>
          </cell>
          <cell r="I208">
            <v>1350</v>
          </cell>
          <cell r="J208">
            <v>0.76300000000000001</v>
          </cell>
          <cell r="K208">
            <v>1.3</v>
          </cell>
        </row>
        <row r="209">
          <cell r="A209" t="str">
            <v>OAS1_0404_MR1</v>
          </cell>
          <cell r="B209" t="str">
            <v>F</v>
          </cell>
          <cell r="C209" t="str">
            <v>R</v>
          </cell>
          <cell r="D209">
            <v>73</v>
          </cell>
          <cell r="E209">
            <v>2</v>
          </cell>
          <cell r="F209">
            <v>2</v>
          </cell>
          <cell r="G209">
            <v>29</v>
          </cell>
          <cell r="H209">
            <v>0</v>
          </cell>
          <cell r="I209">
            <v>1465</v>
          </cell>
          <cell r="J209">
            <v>0.77600000000000002</v>
          </cell>
          <cell r="K209">
            <v>1.198</v>
          </cell>
        </row>
        <row r="210">
          <cell r="A210" t="str">
            <v>OAS1_0405_MR1</v>
          </cell>
          <cell r="B210" t="str">
            <v>M</v>
          </cell>
          <cell r="C210" t="str">
            <v>R</v>
          </cell>
          <cell r="D210">
            <v>77</v>
          </cell>
          <cell r="E210">
            <v>5</v>
          </cell>
          <cell r="F210">
            <v>1</v>
          </cell>
          <cell r="G210">
            <v>23</v>
          </cell>
          <cell r="H210">
            <v>1</v>
          </cell>
          <cell r="I210">
            <v>1713</v>
          </cell>
          <cell r="J210">
            <v>0.76100000000000001</v>
          </cell>
          <cell r="K210">
            <v>1.024</v>
          </cell>
        </row>
        <row r="211">
          <cell r="A211" t="str">
            <v>OAS1_0411_MR1</v>
          </cell>
          <cell r="B211" t="str">
            <v>F</v>
          </cell>
          <cell r="C211" t="str">
            <v>R</v>
          </cell>
          <cell r="D211">
            <v>71</v>
          </cell>
          <cell r="E211">
            <v>5</v>
          </cell>
          <cell r="F211">
            <v>1</v>
          </cell>
          <cell r="G211">
            <v>29</v>
          </cell>
          <cell r="H211">
            <v>0.5</v>
          </cell>
          <cell r="I211">
            <v>1346</v>
          </cell>
          <cell r="J211">
            <v>0.74199999999999999</v>
          </cell>
          <cell r="K211">
            <v>1.304</v>
          </cell>
        </row>
        <row r="212">
          <cell r="A212" t="str">
            <v>OAS1_0418_MR1</v>
          </cell>
          <cell r="B212" t="str">
            <v>M</v>
          </cell>
          <cell r="C212" t="str">
            <v>R</v>
          </cell>
          <cell r="D212">
            <v>74</v>
          </cell>
          <cell r="E212">
            <v>5</v>
          </cell>
          <cell r="F212">
            <v>2</v>
          </cell>
          <cell r="G212">
            <v>28</v>
          </cell>
          <cell r="H212">
            <v>0.5</v>
          </cell>
          <cell r="I212">
            <v>1659</v>
          </cell>
          <cell r="J212">
            <v>0.747</v>
          </cell>
          <cell r="K212">
            <v>1.0580000000000001</v>
          </cell>
        </row>
        <row r="213">
          <cell r="A213" t="str">
            <v>OAS1_0422_MR1</v>
          </cell>
          <cell r="B213" t="str">
            <v>F</v>
          </cell>
          <cell r="C213" t="str">
            <v>R</v>
          </cell>
          <cell r="D213">
            <v>69</v>
          </cell>
          <cell r="E213">
            <v>4</v>
          </cell>
          <cell r="F213">
            <v>3</v>
          </cell>
          <cell r="G213">
            <v>29</v>
          </cell>
          <cell r="H213">
            <v>0</v>
          </cell>
          <cell r="I213">
            <v>1380</v>
          </cell>
          <cell r="J213">
            <v>0.80900000000000005</v>
          </cell>
          <cell r="K213">
            <v>1.272</v>
          </cell>
        </row>
        <row r="214">
          <cell r="A214" t="str">
            <v>OAS1_0423_MR1</v>
          </cell>
          <cell r="B214" t="str">
            <v>M</v>
          </cell>
          <cell r="C214" t="str">
            <v>R</v>
          </cell>
          <cell r="D214">
            <v>75</v>
          </cell>
          <cell r="E214">
            <v>2</v>
          </cell>
          <cell r="F214">
            <v>4</v>
          </cell>
          <cell r="G214">
            <v>28</v>
          </cell>
          <cell r="H214">
            <v>0</v>
          </cell>
          <cell r="I214">
            <v>1511</v>
          </cell>
          <cell r="J214">
            <v>0.749</v>
          </cell>
          <cell r="K214">
            <v>1.1619999999999999</v>
          </cell>
        </row>
        <row r="215">
          <cell r="A215" t="str">
            <v>OAS1_0424_MR1</v>
          </cell>
          <cell r="B215" t="str">
            <v>M</v>
          </cell>
          <cell r="C215" t="str">
            <v>R</v>
          </cell>
          <cell r="D215">
            <v>75</v>
          </cell>
          <cell r="E215">
            <v>4</v>
          </cell>
          <cell r="F215">
            <v>1</v>
          </cell>
          <cell r="G215">
            <v>20</v>
          </cell>
          <cell r="H215">
            <v>1</v>
          </cell>
          <cell r="I215">
            <v>1613</v>
          </cell>
          <cell r="J215">
            <v>0.71499999999999997</v>
          </cell>
          <cell r="K215">
            <v>1.0880000000000001</v>
          </cell>
        </row>
        <row r="216">
          <cell r="A216" t="str">
            <v>OAS1_0425_MR1</v>
          </cell>
          <cell r="B216" t="str">
            <v>F</v>
          </cell>
          <cell r="C216" t="str">
            <v>R</v>
          </cell>
          <cell r="D216">
            <v>78</v>
          </cell>
          <cell r="E216">
            <v>1</v>
          </cell>
          <cell r="F216">
            <v>4</v>
          </cell>
          <cell r="G216">
            <v>23</v>
          </cell>
          <cell r="H216">
            <v>1</v>
          </cell>
          <cell r="I216">
            <v>1461</v>
          </cell>
          <cell r="J216">
            <v>0.71499999999999997</v>
          </cell>
          <cell r="K216">
            <v>1.2010000000000001</v>
          </cell>
        </row>
        <row r="217">
          <cell r="A217" t="str">
            <v>OAS1_0426_MR1</v>
          </cell>
          <cell r="B217" t="str">
            <v>F</v>
          </cell>
          <cell r="C217" t="str">
            <v>R</v>
          </cell>
          <cell r="D217">
            <v>82</v>
          </cell>
          <cell r="E217">
            <v>5</v>
          </cell>
          <cell r="F217">
            <v>2</v>
          </cell>
          <cell r="G217">
            <v>29</v>
          </cell>
          <cell r="H217">
            <v>0</v>
          </cell>
          <cell r="I217">
            <v>1316</v>
          </cell>
          <cell r="J217">
            <v>0.79100000000000004</v>
          </cell>
          <cell r="K217">
            <v>1.3340000000000001</v>
          </cell>
        </row>
        <row r="218">
          <cell r="A218" t="str">
            <v>OAS1_0428_MR1</v>
          </cell>
          <cell r="B218" t="str">
            <v>F</v>
          </cell>
          <cell r="C218" t="str">
            <v>R</v>
          </cell>
          <cell r="D218">
            <v>84</v>
          </cell>
          <cell r="E218">
            <v>4</v>
          </cell>
          <cell r="F218">
            <v>3</v>
          </cell>
          <cell r="G218">
            <v>28</v>
          </cell>
          <cell r="H218">
            <v>0</v>
          </cell>
          <cell r="I218">
            <v>1500</v>
          </cell>
          <cell r="J218">
            <v>0.751</v>
          </cell>
          <cell r="K218">
            <v>1.17</v>
          </cell>
        </row>
        <row r="219">
          <cell r="A219" t="str">
            <v>OAS1_0430_MR1</v>
          </cell>
          <cell r="B219" t="str">
            <v>M</v>
          </cell>
          <cell r="C219" t="str">
            <v>R</v>
          </cell>
          <cell r="D219">
            <v>71</v>
          </cell>
          <cell r="E219">
            <v>4</v>
          </cell>
          <cell r="F219">
            <v>1</v>
          </cell>
          <cell r="G219">
            <v>17</v>
          </cell>
          <cell r="H219">
            <v>1</v>
          </cell>
          <cell r="I219">
            <v>1562</v>
          </cell>
          <cell r="J219">
            <v>0.68700000000000006</v>
          </cell>
          <cell r="K219">
            <v>1.123</v>
          </cell>
        </row>
        <row r="220">
          <cell r="A220" t="str">
            <v>OAS1_0432_MR1</v>
          </cell>
          <cell r="B220" t="str">
            <v>F</v>
          </cell>
          <cell r="C220" t="str">
            <v>R</v>
          </cell>
          <cell r="D220">
            <v>72</v>
          </cell>
          <cell r="E220">
            <v>2</v>
          </cell>
          <cell r="F220">
            <v>4</v>
          </cell>
          <cell r="G220">
            <v>26</v>
          </cell>
          <cell r="H220">
            <v>0.5</v>
          </cell>
          <cell r="I220">
            <v>1453</v>
          </cell>
          <cell r="J220">
            <v>0.77300000000000002</v>
          </cell>
          <cell r="K220">
            <v>1.208</v>
          </cell>
        </row>
        <row r="221">
          <cell r="A221" t="str">
            <v>OAS1_0433_MR1</v>
          </cell>
          <cell r="B221" t="str">
            <v>M</v>
          </cell>
          <cell r="C221" t="str">
            <v>R</v>
          </cell>
          <cell r="D221">
            <v>58</v>
          </cell>
          <cell r="E221">
            <v>4</v>
          </cell>
          <cell r="F221">
            <v>1</v>
          </cell>
          <cell r="G221">
            <v>27</v>
          </cell>
          <cell r="H221">
            <v>0</v>
          </cell>
          <cell r="I221">
            <v>1606</v>
          </cell>
          <cell r="J221">
            <v>0.77900000000000003</v>
          </cell>
          <cell r="K221">
            <v>1.093</v>
          </cell>
        </row>
        <row r="222">
          <cell r="A222" t="str">
            <v>OAS1_0438_MR1</v>
          </cell>
          <cell r="B222" t="str">
            <v>F</v>
          </cell>
          <cell r="C222" t="str">
            <v>R</v>
          </cell>
          <cell r="D222">
            <v>66</v>
          </cell>
          <cell r="E222">
            <v>5</v>
          </cell>
          <cell r="F222">
            <v>2</v>
          </cell>
          <cell r="G222">
            <v>29</v>
          </cell>
          <cell r="H222">
            <v>0</v>
          </cell>
          <cell r="I222">
            <v>1191</v>
          </cell>
          <cell r="J222">
            <v>0.78700000000000003</v>
          </cell>
          <cell r="K222">
            <v>1.474</v>
          </cell>
        </row>
        <row r="223">
          <cell r="A223" t="str">
            <v>OAS1_0440_MR1</v>
          </cell>
          <cell r="B223" t="str">
            <v>M</v>
          </cell>
          <cell r="C223" t="str">
            <v>R</v>
          </cell>
          <cell r="D223">
            <v>86</v>
          </cell>
          <cell r="E223">
            <v>1</v>
          </cell>
          <cell r="F223">
            <v>4</v>
          </cell>
          <cell r="G223">
            <v>27</v>
          </cell>
          <cell r="H223">
            <v>0.5</v>
          </cell>
          <cell r="I223">
            <v>1320</v>
          </cell>
          <cell r="J223">
            <v>0.72299999999999998</v>
          </cell>
          <cell r="K223">
            <v>1.329</v>
          </cell>
        </row>
        <row r="224">
          <cell r="A224" t="str">
            <v>OAS1_0441_MR1</v>
          </cell>
          <cell r="B224" t="str">
            <v>M</v>
          </cell>
          <cell r="C224" t="str">
            <v>R</v>
          </cell>
          <cell r="D224">
            <v>81</v>
          </cell>
          <cell r="E224">
            <v>5</v>
          </cell>
          <cell r="F224">
            <v>1</v>
          </cell>
          <cell r="G224">
            <v>29</v>
          </cell>
          <cell r="H224">
            <v>0.5</v>
          </cell>
          <cell r="I224">
            <v>1647</v>
          </cell>
          <cell r="J224">
            <v>0.72099999999999997</v>
          </cell>
          <cell r="K224">
            <v>1.0660000000000001</v>
          </cell>
        </row>
        <row r="225">
          <cell r="A225" t="str">
            <v>OAS1_0443_MR1</v>
          </cell>
          <cell r="B225" t="str">
            <v>F</v>
          </cell>
          <cell r="C225" t="str">
            <v>R</v>
          </cell>
          <cell r="D225">
            <v>52</v>
          </cell>
          <cell r="E225">
            <v>3</v>
          </cell>
          <cell r="F225">
            <v>3</v>
          </cell>
          <cell r="G225">
            <v>30</v>
          </cell>
          <cell r="H225">
            <v>0</v>
          </cell>
          <cell r="I225">
            <v>1431</v>
          </cell>
          <cell r="J225">
            <v>0.81399999999999995</v>
          </cell>
          <cell r="K225">
            <v>1.226</v>
          </cell>
        </row>
        <row r="226">
          <cell r="A226" t="str">
            <v>OAS1_0445_MR1</v>
          </cell>
          <cell r="B226" t="str">
            <v>F</v>
          </cell>
          <cell r="C226" t="str">
            <v>R</v>
          </cell>
          <cell r="D226">
            <v>90</v>
          </cell>
          <cell r="E226">
            <v>1</v>
          </cell>
          <cell r="F226">
            <v>2</v>
          </cell>
          <cell r="G226">
            <v>29</v>
          </cell>
          <cell r="H226">
            <v>0</v>
          </cell>
          <cell r="I226">
            <v>1362</v>
          </cell>
          <cell r="J226">
            <v>0.67300000000000004</v>
          </cell>
          <cell r="K226">
            <v>1.2889999999999999</v>
          </cell>
        </row>
        <row r="227">
          <cell r="A227" t="str">
            <v>OAS1_0446_MR1</v>
          </cell>
          <cell r="B227" t="str">
            <v>F</v>
          </cell>
          <cell r="C227" t="str">
            <v>R</v>
          </cell>
          <cell r="D227">
            <v>80</v>
          </cell>
          <cell r="E227">
            <v>2</v>
          </cell>
          <cell r="F227">
            <v>4</v>
          </cell>
          <cell r="G227">
            <v>30</v>
          </cell>
          <cell r="H227">
            <v>0</v>
          </cell>
          <cell r="I227">
            <v>1390</v>
          </cell>
          <cell r="J227">
            <v>0.748</v>
          </cell>
          <cell r="K227">
            <v>1.2629999999999999</v>
          </cell>
        </row>
        <row r="228">
          <cell r="A228" t="str">
            <v>OAS1_0447_MR1</v>
          </cell>
          <cell r="B228" t="str">
            <v>F</v>
          </cell>
          <cell r="C228" t="str">
            <v>R</v>
          </cell>
          <cell r="D228">
            <v>92</v>
          </cell>
          <cell r="E228">
            <v>4</v>
          </cell>
          <cell r="F228">
            <v>1</v>
          </cell>
          <cell r="G228">
            <v>24</v>
          </cell>
          <cell r="H228">
            <v>0.5</v>
          </cell>
          <cell r="I228">
            <v>1388</v>
          </cell>
          <cell r="J228">
            <v>0.73899999999999999</v>
          </cell>
          <cell r="K228">
            <v>1.264</v>
          </cell>
        </row>
        <row r="229">
          <cell r="A229" t="str">
            <v>OAS1_0449_MR1</v>
          </cell>
          <cell r="B229" t="str">
            <v>F</v>
          </cell>
          <cell r="C229" t="str">
            <v>R</v>
          </cell>
          <cell r="D229">
            <v>71</v>
          </cell>
          <cell r="E229">
            <v>3</v>
          </cell>
          <cell r="F229">
            <v>4</v>
          </cell>
          <cell r="G229">
            <v>29</v>
          </cell>
          <cell r="H229">
            <v>0</v>
          </cell>
          <cell r="I229">
            <v>1264</v>
          </cell>
          <cell r="J229">
            <v>0.81799999999999995</v>
          </cell>
          <cell r="K229">
            <v>1.3879999999999999</v>
          </cell>
        </row>
        <row r="230">
          <cell r="A230" t="str">
            <v>OAS1_0451_MR1</v>
          </cell>
          <cell r="B230" t="str">
            <v>M</v>
          </cell>
          <cell r="C230" t="str">
            <v>R</v>
          </cell>
          <cell r="D230">
            <v>73</v>
          </cell>
          <cell r="E230">
            <v>5</v>
          </cell>
          <cell r="F230">
            <v>3</v>
          </cell>
          <cell r="G230">
            <v>27</v>
          </cell>
          <cell r="H230">
            <v>0.5</v>
          </cell>
          <cell r="I230">
            <v>1687</v>
          </cell>
          <cell r="J230">
            <v>0.72799999999999998</v>
          </cell>
          <cell r="K230">
            <v>1.04</v>
          </cell>
        </row>
        <row r="231">
          <cell r="A231" t="str">
            <v>OAS1_0452_MR1</v>
          </cell>
          <cell r="B231" t="str">
            <v>M</v>
          </cell>
          <cell r="C231" t="str">
            <v>R</v>
          </cell>
          <cell r="D231">
            <v>75</v>
          </cell>
          <cell r="E231">
            <v>1</v>
          </cell>
          <cell r="F231">
            <v>4</v>
          </cell>
          <cell r="G231">
            <v>22</v>
          </cell>
          <cell r="H231">
            <v>1</v>
          </cell>
          <cell r="I231">
            <v>1656</v>
          </cell>
          <cell r="J231">
            <v>0.76200000000000001</v>
          </cell>
          <cell r="K231">
            <v>1.06</v>
          </cell>
        </row>
        <row r="232">
          <cell r="A232" t="str">
            <v>OAS1_0453_MR1</v>
          </cell>
          <cell r="B232" t="str">
            <v>F</v>
          </cell>
          <cell r="C232" t="str">
            <v>R</v>
          </cell>
          <cell r="D232">
            <v>70</v>
          </cell>
          <cell r="E232">
            <v>1</v>
          </cell>
          <cell r="F232">
            <v>4</v>
          </cell>
          <cell r="G232">
            <v>29</v>
          </cell>
          <cell r="H232">
            <v>0.5</v>
          </cell>
          <cell r="I232">
            <v>1295</v>
          </cell>
          <cell r="J232">
            <v>0.748</v>
          </cell>
          <cell r="K232">
            <v>1.355</v>
          </cell>
        </row>
        <row r="233">
          <cell r="A233" t="str">
            <v>OAS1_0454_MR1</v>
          </cell>
          <cell r="B233" t="str">
            <v>F</v>
          </cell>
          <cell r="C233" t="str">
            <v>R</v>
          </cell>
          <cell r="D233">
            <v>73</v>
          </cell>
          <cell r="E233">
            <v>3</v>
          </cell>
          <cell r="F233">
            <v>2</v>
          </cell>
          <cell r="G233">
            <v>23</v>
          </cell>
          <cell r="H233">
            <v>0.5</v>
          </cell>
          <cell r="I233">
            <v>1536</v>
          </cell>
          <cell r="J233">
            <v>0.73</v>
          </cell>
          <cell r="K233">
            <v>1.1419999999999999</v>
          </cell>
        </row>
        <row r="234">
          <cell r="A234" t="str">
            <v>OAS1_0455_MR1</v>
          </cell>
          <cell r="B234" t="str">
            <v>F</v>
          </cell>
          <cell r="C234" t="str">
            <v>R</v>
          </cell>
          <cell r="D234">
            <v>61</v>
          </cell>
          <cell r="E234">
            <v>2</v>
          </cell>
          <cell r="F234">
            <v>4</v>
          </cell>
          <cell r="G234">
            <v>28</v>
          </cell>
          <cell r="H234">
            <v>0</v>
          </cell>
          <cell r="I234">
            <v>1354</v>
          </cell>
          <cell r="J234">
            <v>0.82499999999999996</v>
          </cell>
          <cell r="K234">
            <v>1.2969999999999999</v>
          </cell>
        </row>
        <row r="235">
          <cell r="A235" t="str">
            <v>OAS1_0456_MR1</v>
          </cell>
          <cell r="B235" t="str">
            <v>M</v>
          </cell>
          <cell r="C235" t="str">
            <v>R</v>
          </cell>
          <cell r="D235">
            <v>61</v>
          </cell>
          <cell r="E235">
            <v>5</v>
          </cell>
          <cell r="F235">
            <v>2</v>
          </cell>
          <cell r="G235">
            <v>30</v>
          </cell>
          <cell r="H235">
            <v>0</v>
          </cell>
          <cell r="I235">
            <v>1637</v>
          </cell>
          <cell r="J235">
            <v>0.78</v>
          </cell>
          <cell r="K235">
            <v>1.0720000000000001</v>
          </cell>
        </row>
        <row r="236">
          <cell r="A236" t="str">
            <v>OAS1_0457_MR1</v>
          </cell>
          <cell r="B236" t="str">
            <v>F</v>
          </cell>
          <cell r="C236" t="str">
            <v>R</v>
          </cell>
          <cell r="D236">
            <v>62</v>
          </cell>
          <cell r="E236">
            <v>3</v>
          </cell>
          <cell r="F236">
            <v>3</v>
          </cell>
          <cell r="G236">
            <v>26</v>
          </cell>
          <cell r="H236">
            <v>0</v>
          </cell>
          <cell r="I236">
            <v>1372</v>
          </cell>
          <cell r="J236">
            <v>0.76600000000000001</v>
          </cell>
          <cell r="K236">
            <v>1.2789999999999999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B1" t="str">
            <v>MRI ID</v>
          </cell>
          <cell r="C1" t="str">
            <v>Group</v>
          </cell>
          <cell r="D1" t="str">
            <v>Visit</v>
          </cell>
          <cell r="E1" t="str">
            <v>MR Delay</v>
          </cell>
          <cell r="F1" t="str">
            <v>M/F</v>
          </cell>
          <cell r="G1" t="str">
            <v>Hand</v>
          </cell>
          <cell r="H1" t="str">
            <v>Age</v>
          </cell>
          <cell r="I1" t="str">
            <v>EDUC</v>
          </cell>
          <cell r="J1" t="str">
            <v>SES</v>
          </cell>
          <cell r="K1" t="str">
            <v>MMSE</v>
          </cell>
          <cell r="L1" t="str">
            <v>CDR</v>
          </cell>
          <cell r="M1" t="str">
            <v>eTIV</v>
          </cell>
          <cell r="N1" t="str">
            <v>nWBV</v>
          </cell>
          <cell r="O1" t="str">
            <v>ASF</v>
          </cell>
        </row>
        <row r="2">
          <cell r="B2" t="str">
            <v>OAS2_0001_MR1</v>
          </cell>
          <cell r="C2" t="str">
            <v>Nondemented</v>
          </cell>
          <cell r="D2" t="str">
            <v>1</v>
          </cell>
          <cell r="E2">
            <v>0</v>
          </cell>
          <cell r="F2" t="str">
            <v>M</v>
          </cell>
          <cell r="G2" t="str">
            <v>R</v>
          </cell>
          <cell r="H2">
            <v>87</v>
          </cell>
          <cell r="I2">
            <v>14</v>
          </cell>
          <cell r="J2">
            <v>2</v>
          </cell>
          <cell r="K2">
            <v>27</v>
          </cell>
          <cell r="L2">
            <v>0</v>
          </cell>
          <cell r="M2">
            <v>1986.55</v>
          </cell>
          <cell r="N2">
            <v>0.696106</v>
          </cell>
          <cell r="O2">
            <v>0.88344</v>
          </cell>
        </row>
        <row r="3">
          <cell r="B3" t="str">
            <v>OAS2_0001_MR2</v>
          </cell>
          <cell r="C3" t="str">
            <v>Nondemented</v>
          </cell>
          <cell r="D3" t="str">
            <v>2</v>
          </cell>
          <cell r="E3">
            <v>457</v>
          </cell>
          <cell r="F3" t="str">
            <v>M</v>
          </cell>
          <cell r="G3" t="str">
            <v>R</v>
          </cell>
          <cell r="H3">
            <v>88</v>
          </cell>
          <cell r="I3">
            <v>14</v>
          </cell>
          <cell r="J3">
            <v>2</v>
          </cell>
          <cell r="K3">
            <v>30</v>
          </cell>
          <cell r="L3">
            <v>0</v>
          </cell>
          <cell r="M3">
            <v>2004.4795263260701</v>
          </cell>
          <cell r="N3">
            <v>0.68106199999999995</v>
          </cell>
          <cell r="O3">
            <v>0.87553899999999996</v>
          </cell>
        </row>
        <row r="4">
          <cell r="B4" t="str">
            <v>OAS2_0002_MR1</v>
          </cell>
          <cell r="C4" t="str">
            <v>Demented</v>
          </cell>
          <cell r="D4" t="str">
            <v>1</v>
          </cell>
          <cell r="E4">
            <v>0</v>
          </cell>
          <cell r="F4" t="str">
            <v>M</v>
          </cell>
          <cell r="G4" t="str">
            <v>R</v>
          </cell>
          <cell r="H4">
            <v>75</v>
          </cell>
          <cell r="I4">
            <v>12</v>
          </cell>
          <cell r="K4">
            <v>23</v>
          </cell>
          <cell r="L4">
            <v>0.5</v>
          </cell>
          <cell r="M4">
            <v>1678.29</v>
          </cell>
          <cell r="N4">
            <v>0.73633599999999999</v>
          </cell>
          <cell r="O4">
            <v>1.0457099999999999</v>
          </cell>
        </row>
        <row r="5">
          <cell r="B5" t="str">
            <v>OAS2_0002_MR2</v>
          </cell>
          <cell r="C5" t="str">
            <v>Demented</v>
          </cell>
          <cell r="D5" t="str">
            <v>2</v>
          </cell>
          <cell r="E5">
            <v>560</v>
          </cell>
          <cell r="F5" t="str">
            <v>M</v>
          </cell>
          <cell r="G5" t="str">
            <v>R</v>
          </cell>
          <cell r="H5">
            <v>76</v>
          </cell>
          <cell r="I5">
            <v>12</v>
          </cell>
          <cell r="K5">
            <v>28</v>
          </cell>
          <cell r="L5">
            <v>0.5</v>
          </cell>
          <cell r="M5">
            <v>1737.62</v>
          </cell>
          <cell r="N5">
            <v>0.71340199999999998</v>
          </cell>
          <cell r="O5">
            <v>1.01</v>
          </cell>
        </row>
        <row r="6">
          <cell r="B6" t="str">
            <v>OAS2_0002_MR3</v>
          </cell>
          <cell r="C6" t="str">
            <v>Demented</v>
          </cell>
          <cell r="D6" t="str">
            <v>3</v>
          </cell>
          <cell r="E6">
            <v>1895</v>
          </cell>
          <cell r="F6" t="str">
            <v>M</v>
          </cell>
          <cell r="G6" t="str">
            <v>R</v>
          </cell>
          <cell r="H6">
            <v>80</v>
          </cell>
          <cell r="I6">
            <v>12</v>
          </cell>
          <cell r="K6">
            <v>22</v>
          </cell>
          <cell r="L6">
            <v>0.5</v>
          </cell>
          <cell r="M6">
            <v>1697.9111339434201</v>
          </cell>
          <cell r="N6">
            <v>0.70123599999999997</v>
          </cell>
          <cell r="O6">
            <v>1.033623</v>
          </cell>
        </row>
        <row r="7">
          <cell r="B7" t="str">
            <v>OAS2_0004_MR1</v>
          </cell>
          <cell r="C7" t="str">
            <v>Nondemented</v>
          </cell>
          <cell r="D7" t="str">
            <v>1</v>
          </cell>
          <cell r="E7">
            <v>0</v>
          </cell>
          <cell r="F7" t="str">
            <v>F</v>
          </cell>
          <cell r="G7" t="str">
            <v>R</v>
          </cell>
          <cell r="H7">
            <v>88</v>
          </cell>
          <cell r="I7">
            <v>18</v>
          </cell>
          <cell r="J7">
            <v>3</v>
          </cell>
          <cell r="K7">
            <v>28</v>
          </cell>
          <cell r="L7">
            <v>0</v>
          </cell>
          <cell r="M7">
            <v>1215.33</v>
          </cell>
          <cell r="N7">
            <v>0.70951200000000003</v>
          </cell>
          <cell r="O7">
            <v>1.4440599999999999</v>
          </cell>
        </row>
        <row r="8">
          <cell r="B8" t="str">
            <v>OAS2_0004_MR2</v>
          </cell>
          <cell r="C8" t="str">
            <v>Nondemented</v>
          </cell>
          <cell r="D8" t="str">
            <v>2</v>
          </cell>
          <cell r="E8">
            <v>538</v>
          </cell>
          <cell r="F8" t="str">
            <v>F</v>
          </cell>
          <cell r="G8" t="str">
            <v>R</v>
          </cell>
          <cell r="H8">
            <v>90</v>
          </cell>
          <cell r="I8">
            <v>18</v>
          </cell>
          <cell r="J8">
            <v>3</v>
          </cell>
          <cell r="K8">
            <v>27</v>
          </cell>
          <cell r="L8">
            <v>0</v>
          </cell>
          <cell r="M8">
            <v>1200.0999999999999</v>
          </cell>
          <cell r="N8">
            <v>0.71821400000000002</v>
          </cell>
          <cell r="O8">
            <v>1.46238</v>
          </cell>
        </row>
        <row r="9">
          <cell r="B9" t="str">
            <v>OAS2_0005_MR1</v>
          </cell>
          <cell r="C9" t="str">
            <v>Nondemented</v>
          </cell>
          <cell r="D9" t="str">
            <v>1</v>
          </cell>
          <cell r="E9">
            <v>0</v>
          </cell>
          <cell r="F9" t="str">
            <v>M</v>
          </cell>
          <cell r="G9" t="str">
            <v>R</v>
          </cell>
          <cell r="H9">
            <v>80</v>
          </cell>
          <cell r="I9">
            <v>12</v>
          </cell>
          <cell r="J9">
            <v>4</v>
          </cell>
          <cell r="K9">
            <v>28</v>
          </cell>
          <cell r="L9">
            <v>0</v>
          </cell>
          <cell r="M9">
            <v>1688.58</v>
          </cell>
          <cell r="N9">
            <v>0.71150199999999997</v>
          </cell>
          <cell r="O9">
            <v>1.0393300000000001</v>
          </cell>
        </row>
        <row r="10">
          <cell r="B10" t="str">
            <v>OAS2_0005_MR2</v>
          </cell>
          <cell r="C10" t="str">
            <v>Nondemented</v>
          </cell>
          <cell r="D10" t="str">
            <v>2</v>
          </cell>
          <cell r="E10">
            <v>1010</v>
          </cell>
          <cell r="F10" t="str">
            <v>M</v>
          </cell>
          <cell r="G10" t="str">
            <v>R</v>
          </cell>
          <cell r="H10">
            <v>83</v>
          </cell>
          <cell r="I10">
            <v>12</v>
          </cell>
          <cell r="J10">
            <v>4</v>
          </cell>
          <cell r="K10">
            <v>29</v>
          </cell>
          <cell r="L10">
            <v>0.5</v>
          </cell>
          <cell r="M10">
            <v>1700.72312227569</v>
          </cell>
          <cell r="N10">
            <v>0.71105399999999996</v>
          </cell>
          <cell r="O10">
            <v>1.031914</v>
          </cell>
        </row>
        <row r="11">
          <cell r="B11" t="str">
            <v>OAS2_0005_MR3</v>
          </cell>
          <cell r="C11" t="str">
            <v>Nondemented</v>
          </cell>
          <cell r="D11" t="str">
            <v>3</v>
          </cell>
          <cell r="E11">
            <v>1603</v>
          </cell>
          <cell r="F11" t="str">
            <v>M</v>
          </cell>
          <cell r="G11" t="str">
            <v>R</v>
          </cell>
          <cell r="H11">
            <v>85</v>
          </cell>
          <cell r="I11">
            <v>12</v>
          </cell>
          <cell r="J11">
            <v>4</v>
          </cell>
          <cell r="K11">
            <v>30</v>
          </cell>
          <cell r="L11">
            <v>0</v>
          </cell>
          <cell r="M11">
            <v>1699.26907223782</v>
          </cell>
          <cell r="N11">
            <v>0.70508099999999996</v>
          </cell>
          <cell r="O11">
            <v>1.032797</v>
          </cell>
        </row>
        <row r="12">
          <cell r="B12" t="str">
            <v>OAS2_0007_MR1</v>
          </cell>
          <cell r="C12" t="str">
            <v>Demented</v>
          </cell>
          <cell r="D12" t="str">
            <v>1</v>
          </cell>
          <cell r="E12">
            <v>0</v>
          </cell>
          <cell r="F12" t="str">
            <v>M</v>
          </cell>
          <cell r="G12" t="str">
            <v>R</v>
          </cell>
          <cell r="H12">
            <v>71</v>
          </cell>
          <cell r="I12">
            <v>16</v>
          </cell>
          <cell r="K12">
            <v>28</v>
          </cell>
          <cell r="L12">
            <v>0.5</v>
          </cell>
          <cell r="M12">
            <v>1357.33</v>
          </cell>
          <cell r="N12">
            <v>0.748085</v>
          </cell>
          <cell r="O12">
            <v>1.29298</v>
          </cell>
        </row>
        <row r="13">
          <cell r="B13" t="str">
            <v>OAS2_0007_MR3</v>
          </cell>
          <cell r="C13" t="str">
            <v>Demented</v>
          </cell>
          <cell r="D13" t="str">
            <v>3</v>
          </cell>
          <cell r="E13">
            <v>518</v>
          </cell>
          <cell r="F13" t="str">
            <v>M</v>
          </cell>
          <cell r="G13" t="str">
            <v>R</v>
          </cell>
          <cell r="H13">
            <v>73</v>
          </cell>
          <cell r="I13">
            <v>16</v>
          </cell>
          <cell r="K13">
            <v>27</v>
          </cell>
          <cell r="L13">
            <v>1</v>
          </cell>
          <cell r="M13">
            <v>1364.5</v>
          </cell>
          <cell r="N13">
            <v>0.72703200000000001</v>
          </cell>
          <cell r="O13">
            <v>1.2861800000000001</v>
          </cell>
        </row>
        <row r="14">
          <cell r="B14" t="str">
            <v>OAS2_0007_MR4</v>
          </cell>
          <cell r="C14" t="str">
            <v>Demented</v>
          </cell>
          <cell r="D14" t="str">
            <v>4</v>
          </cell>
          <cell r="E14">
            <v>1281</v>
          </cell>
          <cell r="F14" t="str">
            <v>M</v>
          </cell>
          <cell r="G14" t="str">
            <v>R</v>
          </cell>
          <cell r="H14">
            <v>75</v>
          </cell>
          <cell r="I14">
            <v>16</v>
          </cell>
          <cell r="K14">
            <v>27</v>
          </cell>
          <cell r="L14">
            <v>1</v>
          </cell>
          <cell r="M14">
            <v>1372.1153327438301</v>
          </cell>
          <cell r="N14">
            <v>0.70995399999999997</v>
          </cell>
          <cell r="O14">
            <v>1.279047</v>
          </cell>
        </row>
        <row r="15">
          <cell r="B15" t="str">
            <v>OAS2_0008_MR1</v>
          </cell>
          <cell r="C15" t="str">
            <v>Nondemented</v>
          </cell>
          <cell r="D15" t="str">
            <v>1</v>
          </cell>
          <cell r="E15">
            <v>0</v>
          </cell>
          <cell r="F15" t="str">
            <v>F</v>
          </cell>
          <cell r="G15" t="str">
            <v>R</v>
          </cell>
          <cell r="H15">
            <v>93</v>
          </cell>
          <cell r="I15">
            <v>14</v>
          </cell>
          <cell r="J15">
            <v>2</v>
          </cell>
          <cell r="K15">
            <v>30</v>
          </cell>
          <cell r="L15">
            <v>0</v>
          </cell>
          <cell r="M15">
            <v>1271.51</v>
          </cell>
          <cell r="N15">
            <v>0.69759899999999997</v>
          </cell>
          <cell r="O15">
            <v>1.3802399999999999</v>
          </cell>
        </row>
        <row r="16">
          <cell r="B16" t="str">
            <v>OAS2_0008_MR2</v>
          </cell>
          <cell r="C16" t="str">
            <v>Nondemented</v>
          </cell>
          <cell r="D16" t="str">
            <v>2</v>
          </cell>
          <cell r="E16">
            <v>742</v>
          </cell>
          <cell r="F16" t="str">
            <v>F</v>
          </cell>
          <cell r="G16" t="str">
            <v>R</v>
          </cell>
          <cell r="H16">
            <v>95</v>
          </cell>
          <cell r="I16">
            <v>14</v>
          </cell>
          <cell r="J16">
            <v>2</v>
          </cell>
          <cell r="K16">
            <v>29</v>
          </cell>
          <cell r="L16">
            <v>0</v>
          </cell>
          <cell r="M16">
            <v>1257.3499999999999</v>
          </cell>
          <cell r="N16">
            <v>0.703206</v>
          </cell>
          <cell r="O16">
            <v>1.3957900000000001</v>
          </cell>
        </row>
        <row r="17">
          <cell r="B17" t="str">
            <v>OAS2_0009_MR1</v>
          </cell>
          <cell r="C17" t="str">
            <v>Demented</v>
          </cell>
          <cell r="D17" t="str">
            <v>1</v>
          </cell>
          <cell r="E17">
            <v>0</v>
          </cell>
          <cell r="F17" t="str">
            <v>M</v>
          </cell>
          <cell r="G17" t="str">
            <v>R</v>
          </cell>
          <cell r="H17">
            <v>68</v>
          </cell>
          <cell r="I17">
            <v>12</v>
          </cell>
          <cell r="J17">
            <v>2</v>
          </cell>
          <cell r="K17">
            <v>27</v>
          </cell>
          <cell r="L17">
            <v>0.5</v>
          </cell>
          <cell r="M17">
            <v>1456.6</v>
          </cell>
          <cell r="N17">
            <v>0.806315</v>
          </cell>
          <cell r="O17">
            <v>1.20486</v>
          </cell>
        </row>
        <row r="18">
          <cell r="B18" t="str">
            <v>OAS2_0009_MR2</v>
          </cell>
          <cell r="C18" t="str">
            <v>Demented</v>
          </cell>
          <cell r="D18" t="str">
            <v>2</v>
          </cell>
          <cell r="E18">
            <v>576</v>
          </cell>
          <cell r="F18" t="str">
            <v>M</v>
          </cell>
          <cell r="G18" t="str">
            <v>R</v>
          </cell>
          <cell r="H18">
            <v>69</v>
          </cell>
          <cell r="I18">
            <v>12</v>
          </cell>
          <cell r="J18">
            <v>2</v>
          </cell>
          <cell r="K18">
            <v>24</v>
          </cell>
          <cell r="L18">
            <v>0.5</v>
          </cell>
          <cell r="M18">
            <v>1479.84</v>
          </cell>
          <cell r="N18">
            <v>0.79071199999999997</v>
          </cell>
          <cell r="O18">
            <v>1.18594</v>
          </cell>
        </row>
        <row r="19">
          <cell r="B19" t="str">
            <v>OAS2_0010_MR1</v>
          </cell>
          <cell r="C19" t="str">
            <v>Demented</v>
          </cell>
          <cell r="D19" t="str">
            <v>1</v>
          </cell>
          <cell r="E19">
            <v>0</v>
          </cell>
          <cell r="F19" t="str">
            <v>F</v>
          </cell>
          <cell r="G19" t="str">
            <v>R</v>
          </cell>
          <cell r="H19">
            <v>66</v>
          </cell>
          <cell r="I19">
            <v>12</v>
          </cell>
          <cell r="J19">
            <v>3</v>
          </cell>
          <cell r="K19">
            <v>30</v>
          </cell>
          <cell r="L19">
            <v>0.5</v>
          </cell>
          <cell r="M19">
            <v>1446.66</v>
          </cell>
          <cell r="N19">
            <v>0.76870799999999995</v>
          </cell>
          <cell r="O19">
            <v>1.2131400000000001</v>
          </cell>
        </row>
        <row r="20">
          <cell r="B20" t="str">
            <v>OAS2_0010_MR2</v>
          </cell>
          <cell r="C20" t="str">
            <v>Demented</v>
          </cell>
          <cell r="D20" t="str">
            <v>2</v>
          </cell>
          <cell r="E20">
            <v>854</v>
          </cell>
          <cell r="F20" t="str">
            <v>F</v>
          </cell>
          <cell r="G20" t="str">
            <v>R</v>
          </cell>
          <cell r="H20">
            <v>68</v>
          </cell>
          <cell r="I20">
            <v>12</v>
          </cell>
          <cell r="J20">
            <v>3</v>
          </cell>
          <cell r="K20">
            <v>29</v>
          </cell>
          <cell r="L20">
            <v>0.5</v>
          </cell>
          <cell r="M20">
            <v>1482.0882665900999</v>
          </cell>
          <cell r="N20">
            <v>0.75216700000000003</v>
          </cell>
          <cell r="O20">
            <v>1.18414</v>
          </cell>
        </row>
        <row r="21">
          <cell r="B21" t="str">
            <v>OAS2_0012_MR1</v>
          </cell>
          <cell r="C21" t="str">
            <v>Nondemented</v>
          </cell>
          <cell r="D21" t="str">
            <v>1</v>
          </cell>
          <cell r="E21">
            <v>0</v>
          </cell>
          <cell r="F21" t="str">
            <v>F</v>
          </cell>
          <cell r="G21" t="str">
            <v>R</v>
          </cell>
          <cell r="H21">
            <v>78</v>
          </cell>
          <cell r="I21">
            <v>16</v>
          </cell>
          <cell r="J21">
            <v>2</v>
          </cell>
          <cell r="K21">
            <v>29</v>
          </cell>
          <cell r="L21">
            <v>0</v>
          </cell>
          <cell r="M21">
            <v>1333.37</v>
          </cell>
          <cell r="N21">
            <v>0.74787499999999996</v>
          </cell>
          <cell r="O21">
            <v>1.3162100000000001</v>
          </cell>
        </row>
        <row r="22">
          <cell r="B22" t="str">
            <v>OAS2_0012_MR2</v>
          </cell>
          <cell r="C22" t="str">
            <v>Nondemented</v>
          </cell>
          <cell r="D22" t="str">
            <v>2</v>
          </cell>
          <cell r="E22">
            <v>730</v>
          </cell>
          <cell r="F22" t="str">
            <v>F</v>
          </cell>
          <cell r="G22" t="str">
            <v>R</v>
          </cell>
          <cell r="H22">
            <v>80</v>
          </cell>
          <cell r="I22">
            <v>16</v>
          </cell>
          <cell r="J22">
            <v>2</v>
          </cell>
          <cell r="K22">
            <v>29</v>
          </cell>
          <cell r="L22">
            <v>0</v>
          </cell>
          <cell r="M22">
            <v>1323.07</v>
          </cell>
          <cell r="N22">
            <v>0.73797400000000002</v>
          </cell>
          <cell r="O22">
            <v>1.32646</v>
          </cell>
        </row>
        <row r="23">
          <cell r="B23" t="str">
            <v>OAS2_0012_MR3</v>
          </cell>
          <cell r="C23" t="str">
            <v>Nondemented</v>
          </cell>
          <cell r="D23" t="str">
            <v>3</v>
          </cell>
          <cell r="E23">
            <v>1598</v>
          </cell>
          <cell r="F23" t="str">
            <v>F</v>
          </cell>
          <cell r="G23" t="str">
            <v>R</v>
          </cell>
          <cell r="H23">
            <v>83</v>
          </cell>
          <cell r="I23">
            <v>16</v>
          </cell>
          <cell r="J23">
            <v>2</v>
          </cell>
          <cell r="K23">
            <v>29</v>
          </cell>
          <cell r="L23">
            <v>0</v>
          </cell>
          <cell r="M23">
            <v>1322.611762578</v>
          </cell>
          <cell r="N23">
            <v>0.71823800000000004</v>
          </cell>
          <cell r="O23">
            <v>1.3269200000000001</v>
          </cell>
        </row>
        <row r="24">
          <cell r="B24" t="str">
            <v>OAS2_0013_MR1</v>
          </cell>
          <cell r="C24" t="str">
            <v>Nondemented</v>
          </cell>
          <cell r="D24" t="str">
            <v>1</v>
          </cell>
          <cell r="E24">
            <v>0</v>
          </cell>
          <cell r="F24" t="str">
            <v>F</v>
          </cell>
          <cell r="G24" t="str">
            <v>R</v>
          </cell>
          <cell r="H24">
            <v>81</v>
          </cell>
          <cell r="I24">
            <v>12</v>
          </cell>
          <cell r="J24">
            <v>4</v>
          </cell>
          <cell r="K24">
            <v>30</v>
          </cell>
          <cell r="L24">
            <v>0</v>
          </cell>
          <cell r="M24">
            <v>1229.72</v>
          </cell>
          <cell r="N24">
            <v>0.71501899999999996</v>
          </cell>
          <cell r="O24">
            <v>1.42716</v>
          </cell>
        </row>
        <row r="25">
          <cell r="B25" t="str">
            <v>OAS2_0013_MR2</v>
          </cell>
          <cell r="C25" t="str">
            <v>Nondemented</v>
          </cell>
          <cell r="D25" t="str">
            <v>2</v>
          </cell>
          <cell r="E25">
            <v>643</v>
          </cell>
          <cell r="F25" t="str">
            <v>F</v>
          </cell>
          <cell r="G25" t="str">
            <v>R</v>
          </cell>
          <cell r="H25">
            <v>82</v>
          </cell>
          <cell r="I25">
            <v>12</v>
          </cell>
          <cell r="J25">
            <v>4</v>
          </cell>
          <cell r="K25">
            <v>30</v>
          </cell>
          <cell r="L25">
            <v>0</v>
          </cell>
          <cell r="M25">
            <v>1212.25</v>
          </cell>
          <cell r="N25">
            <v>0.719974</v>
          </cell>
          <cell r="O25">
            <v>1.4477199999999999</v>
          </cell>
        </row>
        <row r="26">
          <cell r="B26" t="str">
            <v>OAS2_0013_MR3</v>
          </cell>
          <cell r="C26" t="str">
            <v>Nondemented</v>
          </cell>
          <cell r="D26" t="str">
            <v>3</v>
          </cell>
          <cell r="E26">
            <v>1456</v>
          </cell>
          <cell r="F26" t="str">
            <v>F</v>
          </cell>
          <cell r="G26" t="str">
            <v>R</v>
          </cell>
          <cell r="H26">
            <v>85</v>
          </cell>
          <cell r="I26">
            <v>12</v>
          </cell>
          <cell r="J26">
            <v>4</v>
          </cell>
          <cell r="K26">
            <v>29</v>
          </cell>
          <cell r="L26">
            <v>0</v>
          </cell>
          <cell r="M26">
            <v>1224.66410708379</v>
          </cell>
          <cell r="N26">
            <v>0.70955000000000001</v>
          </cell>
          <cell r="O26">
            <v>1.433046</v>
          </cell>
        </row>
        <row r="27">
          <cell r="B27" t="str">
            <v>OAS2_0014_MR1</v>
          </cell>
          <cell r="C27" t="str">
            <v>Demented</v>
          </cell>
          <cell r="D27" t="str">
            <v>1</v>
          </cell>
          <cell r="E27">
            <v>0</v>
          </cell>
          <cell r="F27" t="str">
            <v>M</v>
          </cell>
          <cell r="G27" t="str">
            <v>R</v>
          </cell>
          <cell r="H27">
            <v>76</v>
          </cell>
          <cell r="I27">
            <v>16</v>
          </cell>
          <cell r="J27">
            <v>3</v>
          </cell>
          <cell r="K27">
            <v>21</v>
          </cell>
          <cell r="L27">
            <v>0.5</v>
          </cell>
          <cell r="M27">
            <v>1601.89</v>
          </cell>
          <cell r="N27">
            <v>0.69677</v>
          </cell>
          <cell r="O27">
            <v>1.09558</v>
          </cell>
        </row>
        <row r="28">
          <cell r="B28" t="str">
            <v>OAS2_0014_MR2</v>
          </cell>
          <cell r="C28" t="str">
            <v>Demented</v>
          </cell>
          <cell r="D28" t="str">
            <v>2</v>
          </cell>
          <cell r="E28">
            <v>504</v>
          </cell>
          <cell r="F28" t="str">
            <v>M</v>
          </cell>
          <cell r="G28" t="str">
            <v>R</v>
          </cell>
          <cell r="H28">
            <v>77</v>
          </cell>
          <cell r="I28">
            <v>16</v>
          </cell>
          <cell r="J28">
            <v>3</v>
          </cell>
          <cell r="K28">
            <v>16</v>
          </cell>
          <cell r="L28">
            <v>1</v>
          </cell>
          <cell r="M28">
            <v>1589.79</v>
          </cell>
          <cell r="N28">
            <v>0.69633199999999995</v>
          </cell>
          <cell r="O28">
            <v>1.10392</v>
          </cell>
        </row>
        <row r="29">
          <cell r="B29" t="str">
            <v>OAS2_0016_MR1</v>
          </cell>
          <cell r="C29" t="str">
            <v>Demented</v>
          </cell>
          <cell r="D29" t="str">
            <v>1</v>
          </cell>
          <cell r="E29">
            <v>0</v>
          </cell>
          <cell r="F29" t="str">
            <v>M</v>
          </cell>
          <cell r="G29" t="str">
            <v>R</v>
          </cell>
          <cell r="H29">
            <v>88</v>
          </cell>
          <cell r="I29">
            <v>8</v>
          </cell>
          <cell r="J29">
            <v>4</v>
          </cell>
          <cell r="K29">
            <v>25</v>
          </cell>
          <cell r="L29">
            <v>0.5</v>
          </cell>
          <cell r="M29">
            <v>1650.6</v>
          </cell>
          <cell r="N29">
            <v>0.65969100000000003</v>
          </cell>
          <cell r="O29">
            <v>1.06325</v>
          </cell>
        </row>
        <row r="30">
          <cell r="B30" t="str">
            <v>OAS2_0016_MR2</v>
          </cell>
          <cell r="C30" t="str">
            <v>Demented</v>
          </cell>
          <cell r="D30" t="str">
            <v>2</v>
          </cell>
          <cell r="E30">
            <v>707</v>
          </cell>
          <cell r="F30" t="str">
            <v>M</v>
          </cell>
          <cell r="G30" t="str">
            <v>R</v>
          </cell>
          <cell r="H30">
            <v>90</v>
          </cell>
          <cell r="I30">
            <v>8</v>
          </cell>
          <cell r="J30">
            <v>4</v>
          </cell>
          <cell r="K30">
            <v>23</v>
          </cell>
          <cell r="L30">
            <v>0.5</v>
          </cell>
          <cell r="M30">
            <v>1667.88</v>
          </cell>
          <cell r="N30">
            <v>0.64622999999999997</v>
          </cell>
          <cell r="O30">
            <v>1.05223</v>
          </cell>
        </row>
        <row r="31">
          <cell r="B31" t="str">
            <v>OAS2_0017_MR1</v>
          </cell>
          <cell r="C31" t="str">
            <v>Nondemented</v>
          </cell>
          <cell r="D31" t="str">
            <v>1</v>
          </cell>
          <cell r="E31">
            <v>0</v>
          </cell>
          <cell r="F31" t="str">
            <v>M</v>
          </cell>
          <cell r="G31" t="str">
            <v>R</v>
          </cell>
          <cell r="H31">
            <v>80</v>
          </cell>
          <cell r="I31">
            <v>12</v>
          </cell>
          <cell r="J31">
            <v>3</v>
          </cell>
          <cell r="K31">
            <v>29</v>
          </cell>
          <cell r="L31">
            <v>0</v>
          </cell>
          <cell r="M31">
            <v>1782.61</v>
          </cell>
          <cell r="N31">
            <v>0.75206899999999999</v>
          </cell>
          <cell r="O31">
            <v>0.98450899999999997</v>
          </cell>
        </row>
        <row r="32">
          <cell r="B32" t="str">
            <v>OAS2_0017_MR3</v>
          </cell>
          <cell r="C32" t="str">
            <v>Nondemented</v>
          </cell>
          <cell r="D32" t="str">
            <v>3</v>
          </cell>
          <cell r="E32">
            <v>617</v>
          </cell>
          <cell r="F32" t="str">
            <v>M</v>
          </cell>
          <cell r="G32" t="str">
            <v>R</v>
          </cell>
          <cell r="H32">
            <v>81</v>
          </cell>
          <cell r="I32">
            <v>12</v>
          </cell>
          <cell r="J32">
            <v>3</v>
          </cell>
          <cell r="K32">
            <v>27</v>
          </cell>
          <cell r="L32">
            <v>0.5</v>
          </cell>
          <cell r="M32">
            <v>1813.67</v>
          </cell>
          <cell r="N32">
            <v>0.75924999999999998</v>
          </cell>
          <cell r="O32">
            <v>0.96765000000000001</v>
          </cell>
        </row>
        <row r="33">
          <cell r="B33" t="str">
            <v>OAS2_0017_MR4</v>
          </cell>
          <cell r="C33" t="str">
            <v>Nondemented</v>
          </cell>
          <cell r="D33" t="str">
            <v>4</v>
          </cell>
          <cell r="E33">
            <v>1861</v>
          </cell>
          <cell r="F33" t="str">
            <v>M</v>
          </cell>
          <cell r="G33" t="str">
            <v>R</v>
          </cell>
          <cell r="H33">
            <v>85</v>
          </cell>
          <cell r="I33">
            <v>12</v>
          </cell>
          <cell r="J33">
            <v>3</v>
          </cell>
          <cell r="K33">
            <v>30</v>
          </cell>
          <cell r="L33">
            <v>0</v>
          </cell>
          <cell r="M33">
            <v>1819.84281950166</v>
          </cell>
          <cell r="N33">
            <v>0.75472700000000004</v>
          </cell>
          <cell r="O33">
            <v>0.96436900000000003</v>
          </cell>
        </row>
        <row r="34">
          <cell r="B34" t="str">
            <v>OAS2_0017_MR5</v>
          </cell>
          <cell r="C34" t="str">
            <v>Nondemented</v>
          </cell>
          <cell r="D34" t="str">
            <v>5</v>
          </cell>
          <cell r="E34">
            <v>2400</v>
          </cell>
          <cell r="F34" t="str">
            <v>M</v>
          </cell>
          <cell r="G34" t="str">
            <v>R</v>
          </cell>
          <cell r="H34">
            <v>86</v>
          </cell>
          <cell r="I34">
            <v>12</v>
          </cell>
          <cell r="J34">
            <v>3</v>
          </cell>
          <cell r="K34">
            <v>27</v>
          </cell>
          <cell r="L34">
            <v>0</v>
          </cell>
          <cell r="M34">
            <v>1813.21508346988</v>
          </cell>
          <cell r="N34">
            <v>0.76082300000000003</v>
          </cell>
          <cell r="O34">
            <v>0.96789400000000003</v>
          </cell>
        </row>
        <row r="35">
          <cell r="B35" t="str">
            <v>OAS2_0018_MR1</v>
          </cell>
          <cell r="C35" t="str">
            <v>Converted</v>
          </cell>
          <cell r="D35" t="str">
            <v>1</v>
          </cell>
          <cell r="E35">
            <v>0</v>
          </cell>
          <cell r="F35" t="str">
            <v>F</v>
          </cell>
          <cell r="G35" t="str">
            <v>R</v>
          </cell>
          <cell r="H35">
            <v>87</v>
          </cell>
          <cell r="I35">
            <v>14</v>
          </cell>
          <cell r="J35">
            <v>1</v>
          </cell>
          <cell r="K35">
            <v>30</v>
          </cell>
          <cell r="L35">
            <v>0</v>
          </cell>
          <cell r="M35">
            <v>1406.41</v>
          </cell>
          <cell r="N35">
            <v>0.71509400000000001</v>
          </cell>
          <cell r="O35">
            <v>1.2478499999999999</v>
          </cell>
        </row>
        <row r="36">
          <cell r="B36" t="str">
            <v>OAS2_0018_MR3</v>
          </cell>
          <cell r="C36" t="str">
            <v>Converted</v>
          </cell>
          <cell r="D36" t="str">
            <v>3</v>
          </cell>
          <cell r="E36">
            <v>489</v>
          </cell>
          <cell r="F36" t="str">
            <v>F</v>
          </cell>
          <cell r="G36" t="str">
            <v>R</v>
          </cell>
          <cell r="H36">
            <v>88</v>
          </cell>
          <cell r="I36">
            <v>14</v>
          </cell>
          <cell r="J36">
            <v>1</v>
          </cell>
          <cell r="K36">
            <v>29</v>
          </cell>
          <cell r="L36">
            <v>0</v>
          </cell>
          <cell r="M36">
            <v>1398.03</v>
          </cell>
          <cell r="N36">
            <v>0.71337600000000001</v>
          </cell>
          <cell r="O36">
            <v>1.2553399999999999</v>
          </cell>
        </row>
        <row r="37">
          <cell r="B37" t="str">
            <v>OAS2_0018_MR4</v>
          </cell>
          <cell r="C37" t="str">
            <v>Converted</v>
          </cell>
          <cell r="D37" t="str">
            <v>4</v>
          </cell>
          <cell r="E37">
            <v>1933</v>
          </cell>
          <cell r="F37" t="str">
            <v>F</v>
          </cell>
          <cell r="G37" t="str">
            <v>R</v>
          </cell>
          <cell r="H37">
            <v>92</v>
          </cell>
          <cell r="I37">
            <v>14</v>
          </cell>
          <cell r="J37">
            <v>1</v>
          </cell>
          <cell r="K37">
            <v>27</v>
          </cell>
          <cell r="L37">
            <v>0.5</v>
          </cell>
          <cell r="M37">
            <v>1422.6227001946299</v>
          </cell>
          <cell r="N37">
            <v>0.69575299999999995</v>
          </cell>
          <cell r="O37">
            <v>1.2336370000000001</v>
          </cell>
        </row>
        <row r="38">
          <cell r="B38" t="str">
            <v>OAS2_0020_MR1</v>
          </cell>
          <cell r="C38" t="str">
            <v>Converted</v>
          </cell>
          <cell r="D38" t="str">
            <v>1</v>
          </cell>
          <cell r="E38">
            <v>0</v>
          </cell>
          <cell r="F38" t="str">
            <v>M</v>
          </cell>
          <cell r="G38" t="str">
            <v>R</v>
          </cell>
          <cell r="H38">
            <v>80</v>
          </cell>
          <cell r="I38">
            <v>20</v>
          </cell>
          <cell r="J38">
            <v>1</v>
          </cell>
          <cell r="K38">
            <v>29</v>
          </cell>
          <cell r="L38">
            <v>0</v>
          </cell>
          <cell r="M38">
            <v>1586.52</v>
          </cell>
          <cell r="N38">
            <v>0.69317399999999996</v>
          </cell>
          <cell r="O38">
            <v>1.1062000000000001</v>
          </cell>
        </row>
        <row r="39">
          <cell r="B39" t="str">
            <v>OAS2_0020_MR2</v>
          </cell>
          <cell r="C39" t="str">
            <v>Converted</v>
          </cell>
          <cell r="D39" t="str">
            <v>2</v>
          </cell>
          <cell r="E39">
            <v>756</v>
          </cell>
          <cell r="F39" t="str">
            <v>M</v>
          </cell>
          <cell r="G39" t="str">
            <v>R</v>
          </cell>
          <cell r="H39">
            <v>82</v>
          </cell>
          <cell r="I39">
            <v>20</v>
          </cell>
          <cell r="J39">
            <v>1</v>
          </cell>
          <cell r="K39">
            <v>28</v>
          </cell>
          <cell r="L39">
            <v>0.5</v>
          </cell>
          <cell r="M39">
            <v>1605.93</v>
          </cell>
          <cell r="N39">
            <v>0.67655100000000001</v>
          </cell>
          <cell r="O39">
            <v>1.09283</v>
          </cell>
        </row>
        <row r="40">
          <cell r="B40" t="str">
            <v>OAS2_0020_MR3</v>
          </cell>
          <cell r="C40" t="str">
            <v>Converted</v>
          </cell>
          <cell r="D40" t="str">
            <v>3</v>
          </cell>
          <cell r="E40">
            <v>1563</v>
          </cell>
          <cell r="F40" t="str">
            <v>M</v>
          </cell>
          <cell r="G40" t="str">
            <v>R</v>
          </cell>
          <cell r="H40">
            <v>84</v>
          </cell>
          <cell r="I40">
            <v>20</v>
          </cell>
          <cell r="J40">
            <v>1</v>
          </cell>
          <cell r="K40">
            <v>26</v>
          </cell>
          <cell r="L40">
            <v>0.5</v>
          </cell>
          <cell r="M40">
            <v>1596.93679315073</v>
          </cell>
          <cell r="N40">
            <v>0.66635699999999998</v>
          </cell>
          <cell r="O40">
            <v>1.0989789999999999</v>
          </cell>
        </row>
        <row r="41">
          <cell r="B41" t="str">
            <v>OAS2_0021_MR1</v>
          </cell>
          <cell r="C41" t="str">
            <v>Demented</v>
          </cell>
          <cell r="D41" t="str">
            <v>1</v>
          </cell>
          <cell r="E41">
            <v>0</v>
          </cell>
          <cell r="F41" t="str">
            <v>M</v>
          </cell>
          <cell r="G41" t="str">
            <v>R</v>
          </cell>
          <cell r="H41">
            <v>72</v>
          </cell>
          <cell r="I41">
            <v>20</v>
          </cell>
          <cell r="J41">
            <v>1</v>
          </cell>
          <cell r="K41">
            <v>26</v>
          </cell>
          <cell r="L41">
            <v>0.5</v>
          </cell>
          <cell r="M41">
            <v>1910.53</v>
          </cell>
          <cell r="N41">
            <v>0.71886300000000003</v>
          </cell>
          <cell r="O41">
            <v>0.91859100000000005</v>
          </cell>
        </row>
        <row r="42">
          <cell r="B42" t="str">
            <v>OAS2_0021_MR2</v>
          </cell>
          <cell r="C42" t="str">
            <v>Demented</v>
          </cell>
          <cell r="D42" t="str">
            <v>2</v>
          </cell>
          <cell r="E42">
            <v>1164</v>
          </cell>
          <cell r="F42" t="str">
            <v>M</v>
          </cell>
          <cell r="G42" t="str">
            <v>R</v>
          </cell>
          <cell r="H42">
            <v>76</v>
          </cell>
          <cell r="I42">
            <v>20</v>
          </cell>
          <cell r="J42">
            <v>1</v>
          </cell>
          <cell r="K42">
            <v>25</v>
          </cell>
          <cell r="L42">
            <v>0.5</v>
          </cell>
          <cell r="M42">
            <v>1926.4565603255301</v>
          </cell>
          <cell r="N42">
            <v>0.736452</v>
          </cell>
          <cell r="O42">
            <v>0.910999</v>
          </cell>
        </row>
        <row r="43">
          <cell r="B43" t="str">
            <v>OAS2_0022_MR1</v>
          </cell>
          <cell r="C43" t="str">
            <v>Nondemented</v>
          </cell>
          <cell r="D43" t="str">
            <v>1</v>
          </cell>
          <cell r="E43">
            <v>0</v>
          </cell>
          <cell r="F43" t="str">
            <v>F</v>
          </cell>
          <cell r="G43" t="str">
            <v>R</v>
          </cell>
          <cell r="H43">
            <v>61</v>
          </cell>
          <cell r="I43">
            <v>16</v>
          </cell>
          <cell r="J43">
            <v>3</v>
          </cell>
          <cell r="K43">
            <v>30</v>
          </cell>
          <cell r="L43">
            <v>0</v>
          </cell>
          <cell r="M43">
            <v>1312.78</v>
          </cell>
          <cell r="N43">
            <v>0.80486800000000003</v>
          </cell>
          <cell r="O43">
            <v>1.3368500000000001</v>
          </cell>
        </row>
        <row r="44">
          <cell r="B44" t="str">
            <v>OAS2_0022_MR2</v>
          </cell>
          <cell r="C44" t="str">
            <v>Nondemented</v>
          </cell>
          <cell r="D44" t="str">
            <v>2</v>
          </cell>
          <cell r="E44">
            <v>828</v>
          </cell>
          <cell r="F44" t="str">
            <v>F</v>
          </cell>
          <cell r="G44" t="str">
            <v>R</v>
          </cell>
          <cell r="H44">
            <v>64</v>
          </cell>
          <cell r="I44">
            <v>16</v>
          </cell>
          <cell r="J44">
            <v>3</v>
          </cell>
          <cell r="K44">
            <v>29</v>
          </cell>
          <cell r="L44">
            <v>0</v>
          </cell>
          <cell r="M44">
            <v>1316.23453424422</v>
          </cell>
          <cell r="N44">
            <v>0.79621399999999998</v>
          </cell>
          <cell r="O44">
            <v>1.3333489999999999</v>
          </cell>
        </row>
        <row r="45">
          <cell r="B45" t="str">
            <v>OAS2_0023_MR1</v>
          </cell>
          <cell r="C45" t="str">
            <v>Demented</v>
          </cell>
          <cell r="D45" t="str">
            <v>1</v>
          </cell>
          <cell r="E45">
            <v>0</v>
          </cell>
          <cell r="F45" t="str">
            <v>F</v>
          </cell>
          <cell r="G45" t="str">
            <v>R</v>
          </cell>
          <cell r="H45">
            <v>86</v>
          </cell>
          <cell r="I45">
            <v>12</v>
          </cell>
          <cell r="J45">
            <v>4</v>
          </cell>
          <cell r="K45">
            <v>21</v>
          </cell>
          <cell r="L45">
            <v>0.5</v>
          </cell>
          <cell r="M45">
            <v>1247.23</v>
          </cell>
          <cell r="N45">
            <v>0.66180499999999998</v>
          </cell>
          <cell r="O45">
            <v>1.4071199999999999</v>
          </cell>
        </row>
        <row r="46">
          <cell r="B46" t="str">
            <v>OAS2_0023_MR2</v>
          </cell>
          <cell r="C46" t="str">
            <v>Demented</v>
          </cell>
          <cell r="D46" t="str">
            <v>2</v>
          </cell>
          <cell r="E46">
            <v>578</v>
          </cell>
          <cell r="F46" t="str">
            <v>F</v>
          </cell>
          <cell r="G46" t="str">
            <v>R</v>
          </cell>
          <cell r="H46">
            <v>87</v>
          </cell>
          <cell r="I46">
            <v>12</v>
          </cell>
          <cell r="J46">
            <v>4</v>
          </cell>
          <cell r="K46">
            <v>21</v>
          </cell>
          <cell r="L46">
            <v>0.5</v>
          </cell>
          <cell r="M46">
            <v>1249.56</v>
          </cell>
          <cell r="N46">
            <v>0.65191699999999997</v>
          </cell>
          <cell r="O46">
            <v>1.4045000000000001</v>
          </cell>
        </row>
        <row r="47">
          <cell r="B47" t="str">
            <v>OAS2_0026_MR1</v>
          </cell>
          <cell r="C47" t="str">
            <v>Demented</v>
          </cell>
          <cell r="D47" t="str">
            <v>1</v>
          </cell>
          <cell r="E47">
            <v>0</v>
          </cell>
          <cell r="F47" t="str">
            <v>M</v>
          </cell>
          <cell r="G47" t="str">
            <v>R</v>
          </cell>
          <cell r="H47">
            <v>82</v>
          </cell>
          <cell r="I47">
            <v>12</v>
          </cell>
          <cell r="J47">
            <v>3</v>
          </cell>
          <cell r="K47">
            <v>27</v>
          </cell>
          <cell r="L47">
            <v>0.5</v>
          </cell>
          <cell r="M47">
            <v>1419.82</v>
          </cell>
          <cell r="N47">
            <v>0.71309900000000004</v>
          </cell>
          <cell r="O47">
            <v>1.23607</v>
          </cell>
        </row>
        <row r="48">
          <cell r="B48" t="str">
            <v>OAS2_0026_MR2</v>
          </cell>
          <cell r="C48" t="str">
            <v>Demented</v>
          </cell>
          <cell r="D48" t="str">
            <v>2</v>
          </cell>
          <cell r="E48">
            <v>673</v>
          </cell>
          <cell r="F48" t="str">
            <v>M</v>
          </cell>
          <cell r="G48" t="str">
            <v>R</v>
          </cell>
          <cell r="H48">
            <v>84</v>
          </cell>
          <cell r="I48">
            <v>12</v>
          </cell>
          <cell r="J48">
            <v>3</v>
          </cell>
          <cell r="K48">
            <v>27</v>
          </cell>
          <cell r="L48">
            <v>0.5</v>
          </cell>
          <cell r="M48">
            <v>1445.3770992970001</v>
          </cell>
          <cell r="N48">
            <v>0.695191</v>
          </cell>
          <cell r="O48">
            <v>1.214216</v>
          </cell>
        </row>
        <row r="49">
          <cell r="B49" t="str">
            <v>OAS2_0027_MR1</v>
          </cell>
          <cell r="C49" t="str">
            <v>Nondemented</v>
          </cell>
          <cell r="D49" t="str">
            <v>1</v>
          </cell>
          <cell r="E49">
            <v>0</v>
          </cell>
          <cell r="F49" t="str">
            <v>F</v>
          </cell>
          <cell r="G49" t="str">
            <v>R</v>
          </cell>
          <cell r="H49">
            <v>69</v>
          </cell>
          <cell r="I49">
            <v>12</v>
          </cell>
          <cell r="J49">
            <v>3</v>
          </cell>
          <cell r="K49">
            <v>29</v>
          </cell>
          <cell r="L49">
            <v>0</v>
          </cell>
          <cell r="M49">
            <v>1364.5</v>
          </cell>
          <cell r="N49">
            <v>0.78332299999999999</v>
          </cell>
          <cell r="O49">
            <v>1.2861800000000001</v>
          </cell>
        </row>
        <row r="50">
          <cell r="B50" t="str">
            <v>OAS2_0027_MR2</v>
          </cell>
          <cell r="C50" t="str">
            <v>Nondemented</v>
          </cell>
          <cell r="D50" t="str">
            <v>2</v>
          </cell>
          <cell r="E50">
            <v>609</v>
          </cell>
          <cell r="F50" t="str">
            <v>F</v>
          </cell>
          <cell r="G50" t="str">
            <v>R</v>
          </cell>
          <cell r="H50">
            <v>71</v>
          </cell>
          <cell r="I50">
            <v>12</v>
          </cell>
          <cell r="J50">
            <v>3</v>
          </cell>
          <cell r="K50">
            <v>30</v>
          </cell>
          <cell r="L50">
            <v>0</v>
          </cell>
          <cell r="M50">
            <v>1359.69</v>
          </cell>
          <cell r="N50">
            <v>0.78160200000000002</v>
          </cell>
          <cell r="O50">
            <v>1.29074</v>
          </cell>
        </row>
        <row r="51">
          <cell r="B51" t="str">
            <v>OAS2_0027_MR3</v>
          </cell>
          <cell r="C51" t="str">
            <v>Nondemented</v>
          </cell>
          <cell r="D51" t="str">
            <v>3</v>
          </cell>
          <cell r="E51">
            <v>1234</v>
          </cell>
          <cell r="F51" t="str">
            <v>F</v>
          </cell>
          <cell r="G51" t="str">
            <v>R</v>
          </cell>
          <cell r="H51">
            <v>73</v>
          </cell>
          <cell r="I51">
            <v>12</v>
          </cell>
          <cell r="J51">
            <v>3</v>
          </cell>
          <cell r="K51">
            <v>30</v>
          </cell>
          <cell r="L51">
            <v>0</v>
          </cell>
          <cell r="M51">
            <v>1357.62042789411</v>
          </cell>
          <cell r="N51">
            <v>0.77458899999999997</v>
          </cell>
          <cell r="O51">
            <v>1.2927029999999999</v>
          </cell>
        </row>
        <row r="52">
          <cell r="B52" t="str">
            <v>OAS2_0027_MR4</v>
          </cell>
          <cell r="C52" t="str">
            <v>Nondemented</v>
          </cell>
          <cell r="D52" t="str">
            <v>4</v>
          </cell>
          <cell r="E52">
            <v>1779</v>
          </cell>
          <cell r="F52" t="str">
            <v>F</v>
          </cell>
          <cell r="G52" t="str">
            <v>R</v>
          </cell>
          <cell r="H52">
            <v>74</v>
          </cell>
          <cell r="I52">
            <v>12</v>
          </cell>
          <cell r="J52">
            <v>3</v>
          </cell>
          <cell r="K52">
            <v>30</v>
          </cell>
          <cell r="L52">
            <v>0</v>
          </cell>
          <cell r="M52">
            <v>1353.11528773553</v>
          </cell>
          <cell r="N52">
            <v>0.77222199999999996</v>
          </cell>
          <cell r="O52">
            <v>1.297007</v>
          </cell>
        </row>
        <row r="53">
          <cell r="B53" t="str">
            <v>OAS2_0028_MR1</v>
          </cell>
          <cell r="C53" t="str">
            <v>Demented</v>
          </cell>
          <cell r="D53" t="str">
            <v>1</v>
          </cell>
          <cell r="E53">
            <v>0</v>
          </cell>
          <cell r="F53" t="str">
            <v>M</v>
          </cell>
          <cell r="G53" t="str">
            <v>R</v>
          </cell>
          <cell r="H53">
            <v>64</v>
          </cell>
          <cell r="I53">
            <v>18</v>
          </cell>
          <cell r="J53">
            <v>2</v>
          </cell>
          <cell r="K53">
            <v>22</v>
          </cell>
          <cell r="L53">
            <v>0.5</v>
          </cell>
          <cell r="M53">
            <v>1546.99</v>
          </cell>
          <cell r="N53">
            <v>0.73659399999999997</v>
          </cell>
          <cell r="O53">
            <v>1.13446</v>
          </cell>
        </row>
        <row r="54">
          <cell r="B54" t="str">
            <v>OAS2_0028_MR2</v>
          </cell>
          <cell r="C54" t="str">
            <v>Demented</v>
          </cell>
          <cell r="D54" t="str">
            <v>2</v>
          </cell>
          <cell r="E54">
            <v>610</v>
          </cell>
          <cell r="F54" t="str">
            <v>M</v>
          </cell>
          <cell r="G54" t="str">
            <v>R</v>
          </cell>
          <cell r="H54">
            <v>66</v>
          </cell>
          <cell r="I54">
            <v>18</v>
          </cell>
          <cell r="J54">
            <v>2</v>
          </cell>
          <cell r="K54">
            <v>21</v>
          </cell>
          <cell r="L54">
            <v>1</v>
          </cell>
          <cell r="M54">
            <v>1562.05</v>
          </cell>
          <cell r="N54">
            <v>0.71724100000000002</v>
          </cell>
          <cell r="O54">
            <v>1.1235299999999999</v>
          </cell>
        </row>
        <row r="55">
          <cell r="B55" t="str">
            <v>OAS2_0029_MR1</v>
          </cell>
          <cell r="C55" t="str">
            <v>Nondemented</v>
          </cell>
          <cell r="D55" t="str">
            <v>1</v>
          </cell>
          <cell r="E55">
            <v>0</v>
          </cell>
          <cell r="F55" t="str">
            <v>F</v>
          </cell>
          <cell r="G55" t="str">
            <v>R</v>
          </cell>
          <cell r="H55">
            <v>77</v>
          </cell>
          <cell r="I55">
            <v>12</v>
          </cell>
          <cell r="J55">
            <v>4</v>
          </cell>
          <cell r="K55">
            <v>29</v>
          </cell>
          <cell r="L55">
            <v>0</v>
          </cell>
          <cell r="M55">
            <v>1376.5</v>
          </cell>
          <cell r="N55">
            <v>0.733572</v>
          </cell>
          <cell r="O55">
            <v>1.27498</v>
          </cell>
        </row>
        <row r="56">
          <cell r="B56" t="str">
            <v>OAS2_0029_MR2</v>
          </cell>
          <cell r="C56" t="str">
            <v>Nondemented</v>
          </cell>
          <cell r="D56" t="str">
            <v>2</v>
          </cell>
          <cell r="E56">
            <v>1099</v>
          </cell>
          <cell r="F56" t="str">
            <v>F</v>
          </cell>
          <cell r="G56" t="str">
            <v>R</v>
          </cell>
          <cell r="H56">
            <v>80</v>
          </cell>
          <cell r="I56">
            <v>12</v>
          </cell>
          <cell r="J56">
            <v>4</v>
          </cell>
          <cell r="K56">
            <v>30</v>
          </cell>
          <cell r="L56">
            <v>0</v>
          </cell>
          <cell r="M56">
            <v>1389.85</v>
          </cell>
          <cell r="N56">
            <v>0.73527100000000001</v>
          </cell>
          <cell r="O56">
            <v>1.2627299999999999</v>
          </cell>
        </row>
        <row r="57">
          <cell r="B57" t="str">
            <v>OAS2_0030_MR1</v>
          </cell>
          <cell r="C57" t="str">
            <v>Nondemented</v>
          </cell>
          <cell r="D57" t="str">
            <v>1</v>
          </cell>
          <cell r="E57">
            <v>0</v>
          </cell>
          <cell r="F57" t="str">
            <v>F</v>
          </cell>
          <cell r="G57" t="str">
            <v>R</v>
          </cell>
          <cell r="H57">
            <v>60</v>
          </cell>
          <cell r="I57">
            <v>18</v>
          </cell>
          <cell r="J57">
            <v>1</v>
          </cell>
          <cell r="K57">
            <v>30</v>
          </cell>
          <cell r="L57">
            <v>0</v>
          </cell>
          <cell r="M57">
            <v>1402.1</v>
          </cell>
          <cell r="N57">
            <v>0.82158200000000003</v>
          </cell>
          <cell r="O57">
            <v>1.25169</v>
          </cell>
        </row>
        <row r="58">
          <cell r="B58" t="str">
            <v>OAS2_0030_MR2</v>
          </cell>
          <cell r="C58" t="str">
            <v>Nondemented</v>
          </cell>
          <cell r="D58" t="str">
            <v>2</v>
          </cell>
          <cell r="E58">
            <v>932</v>
          </cell>
          <cell r="F58" t="str">
            <v>F</v>
          </cell>
          <cell r="G58" t="str">
            <v>R</v>
          </cell>
          <cell r="H58">
            <v>62</v>
          </cell>
          <cell r="I58">
            <v>18</v>
          </cell>
          <cell r="J58">
            <v>1</v>
          </cell>
          <cell r="K58">
            <v>30</v>
          </cell>
          <cell r="L58">
            <v>0</v>
          </cell>
          <cell r="M58">
            <v>1392.08155456246</v>
          </cell>
          <cell r="N58">
            <v>0.81704399999999999</v>
          </cell>
          <cell r="O58">
            <v>1.260702</v>
          </cell>
        </row>
        <row r="59">
          <cell r="B59" t="str">
            <v>OAS2_0031_MR1</v>
          </cell>
          <cell r="C59" t="str">
            <v>Converted</v>
          </cell>
          <cell r="D59" t="str">
            <v>1</v>
          </cell>
          <cell r="E59">
            <v>0</v>
          </cell>
          <cell r="F59" t="str">
            <v>F</v>
          </cell>
          <cell r="G59" t="str">
            <v>R</v>
          </cell>
          <cell r="H59">
            <v>86</v>
          </cell>
          <cell r="I59">
            <v>12</v>
          </cell>
          <cell r="J59">
            <v>3</v>
          </cell>
          <cell r="K59">
            <v>30</v>
          </cell>
          <cell r="L59">
            <v>0</v>
          </cell>
          <cell r="M59">
            <v>1430.22</v>
          </cell>
          <cell r="N59">
            <v>0.71806499999999995</v>
          </cell>
          <cell r="O59">
            <v>1.2270799999999999</v>
          </cell>
        </row>
        <row r="60">
          <cell r="B60" t="str">
            <v>OAS2_0031_MR2</v>
          </cell>
          <cell r="C60" t="str">
            <v>Converted</v>
          </cell>
          <cell r="D60" t="str">
            <v>2</v>
          </cell>
          <cell r="E60">
            <v>446</v>
          </cell>
          <cell r="F60" t="str">
            <v>F</v>
          </cell>
          <cell r="G60" t="str">
            <v>R</v>
          </cell>
          <cell r="H60">
            <v>88</v>
          </cell>
          <cell r="I60">
            <v>12</v>
          </cell>
          <cell r="J60">
            <v>3</v>
          </cell>
          <cell r="K60">
            <v>30</v>
          </cell>
          <cell r="L60">
            <v>0</v>
          </cell>
          <cell r="M60">
            <v>1444.9</v>
          </cell>
          <cell r="N60">
            <v>0.71948599999999996</v>
          </cell>
          <cell r="O60">
            <v>1.21462</v>
          </cell>
        </row>
        <row r="61">
          <cell r="B61" t="str">
            <v>OAS2_0031_MR3</v>
          </cell>
          <cell r="C61" t="str">
            <v>Converted</v>
          </cell>
          <cell r="D61" t="str">
            <v>3</v>
          </cell>
          <cell r="E61">
            <v>1588</v>
          </cell>
          <cell r="F61" t="str">
            <v>F</v>
          </cell>
          <cell r="G61" t="str">
            <v>R</v>
          </cell>
          <cell r="H61">
            <v>91</v>
          </cell>
          <cell r="I61">
            <v>12</v>
          </cell>
          <cell r="J61">
            <v>3</v>
          </cell>
          <cell r="K61">
            <v>28</v>
          </cell>
          <cell r="L61">
            <v>0.5</v>
          </cell>
          <cell r="M61">
            <v>1463.21</v>
          </cell>
          <cell r="N61">
            <v>0.69553399999999999</v>
          </cell>
          <cell r="O61">
            <v>1.1994199999999999</v>
          </cell>
        </row>
        <row r="62">
          <cell r="B62" t="str">
            <v>OAS2_0032_MR1</v>
          </cell>
          <cell r="C62" t="str">
            <v>Demented</v>
          </cell>
          <cell r="D62" t="str">
            <v>1</v>
          </cell>
          <cell r="E62">
            <v>0</v>
          </cell>
          <cell r="F62" t="str">
            <v>M</v>
          </cell>
          <cell r="G62" t="str">
            <v>R</v>
          </cell>
          <cell r="H62">
            <v>90</v>
          </cell>
          <cell r="I62">
            <v>12</v>
          </cell>
          <cell r="J62">
            <v>3</v>
          </cell>
          <cell r="K62">
            <v>21</v>
          </cell>
          <cell r="L62">
            <v>0.5</v>
          </cell>
          <cell r="M62">
            <v>1307.42</v>
          </cell>
          <cell r="N62">
            <v>0.67865399999999998</v>
          </cell>
          <cell r="O62">
            <v>1.3423400000000001</v>
          </cell>
        </row>
        <row r="63">
          <cell r="B63" t="str">
            <v>OAS2_0032_MR2</v>
          </cell>
          <cell r="C63" t="str">
            <v>Demented</v>
          </cell>
          <cell r="D63" t="str">
            <v>2</v>
          </cell>
          <cell r="E63">
            <v>642</v>
          </cell>
          <cell r="F63" t="str">
            <v>M</v>
          </cell>
          <cell r="G63" t="str">
            <v>R</v>
          </cell>
          <cell r="H63">
            <v>92</v>
          </cell>
          <cell r="I63">
            <v>12</v>
          </cell>
          <cell r="J63">
            <v>3</v>
          </cell>
          <cell r="K63">
            <v>24</v>
          </cell>
          <cell r="L63">
            <v>0.5</v>
          </cell>
          <cell r="M63">
            <v>1310.91</v>
          </cell>
          <cell r="N63">
            <v>0.67568300000000003</v>
          </cell>
          <cell r="O63">
            <v>1.33877</v>
          </cell>
        </row>
        <row r="64">
          <cell r="B64" t="str">
            <v>OAS2_0034_MR1</v>
          </cell>
          <cell r="C64" t="str">
            <v>Nondemented</v>
          </cell>
          <cell r="D64" t="str">
            <v>1</v>
          </cell>
          <cell r="E64">
            <v>0</v>
          </cell>
          <cell r="F64" t="str">
            <v>F</v>
          </cell>
          <cell r="G64" t="str">
            <v>R</v>
          </cell>
          <cell r="H64">
            <v>79</v>
          </cell>
          <cell r="I64">
            <v>16</v>
          </cell>
          <cell r="J64">
            <v>1</v>
          </cell>
          <cell r="K64">
            <v>29</v>
          </cell>
          <cell r="L64">
            <v>0</v>
          </cell>
          <cell r="M64">
            <v>1466.01</v>
          </cell>
          <cell r="N64">
            <v>0.70327700000000004</v>
          </cell>
          <cell r="O64">
            <v>1.19713</v>
          </cell>
        </row>
        <row r="65">
          <cell r="B65" t="str">
            <v>OAS2_0034_MR2</v>
          </cell>
          <cell r="C65" t="str">
            <v>Nondemented</v>
          </cell>
          <cell r="D65" t="str">
            <v>2</v>
          </cell>
          <cell r="E65">
            <v>489</v>
          </cell>
          <cell r="F65" t="str">
            <v>F</v>
          </cell>
          <cell r="G65" t="str">
            <v>R</v>
          </cell>
          <cell r="H65">
            <v>80</v>
          </cell>
          <cell r="I65">
            <v>16</v>
          </cell>
          <cell r="J65">
            <v>1</v>
          </cell>
          <cell r="K65">
            <v>30</v>
          </cell>
          <cell r="L65">
            <v>0</v>
          </cell>
          <cell r="M65">
            <v>1450.29</v>
          </cell>
          <cell r="N65">
            <v>0.69844399999999995</v>
          </cell>
          <cell r="O65">
            <v>1.2101</v>
          </cell>
        </row>
        <row r="66">
          <cell r="B66" t="str">
            <v>OAS2_0034_MR3</v>
          </cell>
          <cell r="C66" t="str">
            <v>Nondemented</v>
          </cell>
          <cell r="D66" t="str">
            <v>3</v>
          </cell>
          <cell r="E66">
            <v>1287</v>
          </cell>
          <cell r="F66" t="str">
            <v>F</v>
          </cell>
          <cell r="G66" t="str">
            <v>R</v>
          </cell>
          <cell r="H66">
            <v>82</v>
          </cell>
          <cell r="I66">
            <v>16</v>
          </cell>
          <cell r="J66">
            <v>1</v>
          </cell>
          <cell r="K66">
            <v>30</v>
          </cell>
          <cell r="L66">
            <v>0</v>
          </cell>
          <cell r="M66">
            <v>1459.80665671835</v>
          </cell>
          <cell r="N66">
            <v>0.69478300000000004</v>
          </cell>
          <cell r="O66">
            <v>1.2022139999999999</v>
          </cell>
        </row>
        <row r="67">
          <cell r="B67" t="str">
            <v>OAS2_0034_MR4</v>
          </cell>
          <cell r="C67" t="str">
            <v>Nondemented</v>
          </cell>
          <cell r="D67" t="str">
            <v>4</v>
          </cell>
          <cell r="E67">
            <v>1884</v>
          </cell>
          <cell r="F67" t="str">
            <v>F</v>
          </cell>
          <cell r="G67" t="str">
            <v>R</v>
          </cell>
          <cell r="H67">
            <v>84</v>
          </cell>
          <cell r="I67">
            <v>16</v>
          </cell>
          <cell r="J67">
            <v>1</v>
          </cell>
          <cell r="K67">
            <v>30</v>
          </cell>
          <cell r="L67">
            <v>0</v>
          </cell>
          <cell r="M67">
            <v>1452.66665728572</v>
          </cell>
          <cell r="N67">
            <v>0.68449099999999996</v>
          </cell>
          <cell r="O67">
            <v>1.2081230000000001</v>
          </cell>
        </row>
        <row r="68">
          <cell r="B68" t="str">
            <v>OAS2_0035_MR1</v>
          </cell>
          <cell r="C68" t="str">
            <v>Nondemented</v>
          </cell>
          <cell r="D68" t="str">
            <v>1</v>
          </cell>
          <cell r="E68">
            <v>0</v>
          </cell>
          <cell r="F68" t="str">
            <v>F</v>
          </cell>
          <cell r="G68" t="str">
            <v>R</v>
          </cell>
          <cell r="H68">
            <v>88</v>
          </cell>
          <cell r="I68">
            <v>12</v>
          </cell>
          <cell r="J68">
            <v>4</v>
          </cell>
          <cell r="K68">
            <v>30</v>
          </cell>
          <cell r="L68">
            <v>0</v>
          </cell>
          <cell r="M68">
            <v>1336.21</v>
          </cell>
          <cell r="N68">
            <v>0.73752200000000001</v>
          </cell>
          <cell r="O68">
            <v>1.31342</v>
          </cell>
        </row>
        <row r="69">
          <cell r="B69" t="str">
            <v>OAS2_0035_MR2</v>
          </cell>
          <cell r="C69" t="str">
            <v>Nondemented</v>
          </cell>
          <cell r="D69" t="str">
            <v>2</v>
          </cell>
          <cell r="E69">
            <v>405</v>
          </cell>
          <cell r="F69" t="str">
            <v>F</v>
          </cell>
          <cell r="G69" t="str">
            <v>R</v>
          </cell>
          <cell r="H69">
            <v>89</v>
          </cell>
          <cell r="I69">
            <v>12</v>
          </cell>
          <cell r="J69">
            <v>4</v>
          </cell>
          <cell r="K69">
            <v>27</v>
          </cell>
          <cell r="L69">
            <v>0</v>
          </cell>
          <cell r="M69">
            <v>1329.33</v>
          </cell>
          <cell r="N69">
            <v>0.73295500000000002</v>
          </cell>
          <cell r="O69">
            <v>1.3202199999999999</v>
          </cell>
        </row>
        <row r="70">
          <cell r="B70" t="str">
            <v>OAS2_0036_MR1</v>
          </cell>
          <cell r="C70" t="str">
            <v>Nondemented</v>
          </cell>
          <cell r="D70" t="str">
            <v>1</v>
          </cell>
          <cell r="E70">
            <v>0</v>
          </cell>
          <cell r="F70" t="str">
            <v>F</v>
          </cell>
          <cell r="G70" t="str">
            <v>R</v>
          </cell>
          <cell r="H70">
            <v>69</v>
          </cell>
          <cell r="I70">
            <v>13</v>
          </cell>
          <cell r="J70">
            <v>4</v>
          </cell>
          <cell r="K70">
            <v>30</v>
          </cell>
          <cell r="L70">
            <v>0</v>
          </cell>
          <cell r="M70">
            <v>1359.33</v>
          </cell>
          <cell r="N70">
            <v>0.78944499999999995</v>
          </cell>
          <cell r="O70">
            <v>1.29108</v>
          </cell>
        </row>
        <row r="71">
          <cell r="B71" t="str">
            <v>OAS2_0036_MR3</v>
          </cell>
          <cell r="C71" t="str">
            <v>Nondemented</v>
          </cell>
          <cell r="D71" t="str">
            <v>3</v>
          </cell>
          <cell r="E71">
            <v>713</v>
          </cell>
          <cell r="F71" t="str">
            <v>F</v>
          </cell>
          <cell r="G71" t="str">
            <v>R</v>
          </cell>
          <cell r="H71">
            <v>70</v>
          </cell>
          <cell r="I71">
            <v>13</v>
          </cell>
          <cell r="J71">
            <v>4</v>
          </cell>
          <cell r="K71">
            <v>30</v>
          </cell>
          <cell r="L71">
            <v>0</v>
          </cell>
          <cell r="M71">
            <v>1360.79</v>
          </cell>
          <cell r="N71">
            <v>0.78279399999999999</v>
          </cell>
          <cell r="O71">
            <v>1.28969</v>
          </cell>
        </row>
        <row r="72">
          <cell r="B72" t="str">
            <v>OAS2_0036_MR4</v>
          </cell>
          <cell r="C72" t="str">
            <v>Nondemented</v>
          </cell>
          <cell r="D72" t="str">
            <v>4</v>
          </cell>
          <cell r="E72">
            <v>1770</v>
          </cell>
          <cell r="F72" t="str">
            <v>F</v>
          </cell>
          <cell r="G72" t="str">
            <v>R</v>
          </cell>
          <cell r="H72">
            <v>73</v>
          </cell>
          <cell r="I72">
            <v>13</v>
          </cell>
          <cell r="J72">
            <v>4</v>
          </cell>
          <cell r="K72">
            <v>30</v>
          </cell>
          <cell r="L72">
            <v>0</v>
          </cell>
          <cell r="M72">
            <v>1359.63</v>
          </cell>
          <cell r="N72">
            <v>0.77315599999999995</v>
          </cell>
          <cell r="O72">
            <v>1.2907999999999999</v>
          </cell>
        </row>
        <row r="73">
          <cell r="B73" t="str">
            <v>OAS2_0036_MR5</v>
          </cell>
          <cell r="C73" t="str">
            <v>Nondemented</v>
          </cell>
          <cell r="D73" t="str">
            <v>5</v>
          </cell>
          <cell r="E73">
            <v>2369</v>
          </cell>
          <cell r="F73" t="str">
            <v>F</v>
          </cell>
          <cell r="G73" t="str">
            <v>R</v>
          </cell>
          <cell r="H73">
            <v>75</v>
          </cell>
          <cell r="I73">
            <v>13</v>
          </cell>
          <cell r="J73">
            <v>4</v>
          </cell>
          <cell r="K73">
            <v>29</v>
          </cell>
          <cell r="L73">
            <v>0</v>
          </cell>
          <cell r="M73">
            <v>1349.26205744397</v>
          </cell>
          <cell r="N73">
            <v>0.77826300000000004</v>
          </cell>
          <cell r="O73">
            <v>1.300711</v>
          </cell>
        </row>
        <row r="74">
          <cell r="B74" t="str">
            <v>OAS2_0037_MR1</v>
          </cell>
          <cell r="C74" t="str">
            <v>Demented</v>
          </cell>
          <cell r="D74" t="str">
            <v>1</v>
          </cell>
          <cell r="E74">
            <v>0</v>
          </cell>
          <cell r="F74" t="str">
            <v>M</v>
          </cell>
          <cell r="G74" t="str">
            <v>R</v>
          </cell>
          <cell r="H74">
            <v>82</v>
          </cell>
          <cell r="I74">
            <v>12</v>
          </cell>
          <cell r="J74">
            <v>4</v>
          </cell>
          <cell r="K74">
            <v>27</v>
          </cell>
          <cell r="L74">
            <v>0.5</v>
          </cell>
          <cell r="M74">
            <v>1476.83</v>
          </cell>
          <cell r="N74">
            <v>0.72882899999999995</v>
          </cell>
          <cell r="O74">
            <v>1.1883600000000001</v>
          </cell>
        </row>
        <row r="75">
          <cell r="B75" t="str">
            <v>OAS2_0037_MR2</v>
          </cell>
          <cell r="C75" t="str">
            <v>Demented</v>
          </cell>
          <cell r="D75" t="str">
            <v>2</v>
          </cell>
          <cell r="E75">
            <v>1123</v>
          </cell>
          <cell r="F75" t="str">
            <v>M</v>
          </cell>
          <cell r="G75" t="str">
            <v>R</v>
          </cell>
          <cell r="H75">
            <v>85</v>
          </cell>
          <cell r="I75">
            <v>12</v>
          </cell>
          <cell r="J75">
            <v>4</v>
          </cell>
          <cell r="K75">
            <v>29</v>
          </cell>
          <cell r="L75">
            <v>0.5</v>
          </cell>
          <cell r="M75">
            <v>1486.93</v>
          </cell>
          <cell r="N75">
            <v>0.71703399999999995</v>
          </cell>
          <cell r="O75">
            <v>1.18028</v>
          </cell>
        </row>
        <row r="76">
          <cell r="B76" t="str">
            <v>OAS2_0037_MR3</v>
          </cell>
          <cell r="C76" t="str">
            <v>Demented</v>
          </cell>
          <cell r="D76" t="str">
            <v>3</v>
          </cell>
          <cell r="E76">
            <v>2029</v>
          </cell>
          <cell r="F76" t="str">
            <v>M</v>
          </cell>
          <cell r="G76" t="str">
            <v>R</v>
          </cell>
          <cell r="H76">
            <v>88</v>
          </cell>
          <cell r="I76">
            <v>12</v>
          </cell>
          <cell r="J76">
            <v>4</v>
          </cell>
          <cell r="K76">
            <v>26</v>
          </cell>
          <cell r="L76">
            <v>0.5</v>
          </cell>
          <cell r="M76">
            <v>1482.59033452476</v>
          </cell>
          <cell r="N76">
            <v>0.709476</v>
          </cell>
          <cell r="O76">
            <v>1.1837390000000001</v>
          </cell>
        </row>
        <row r="77">
          <cell r="B77" t="str">
            <v>OAS2_0037_MR4</v>
          </cell>
          <cell r="C77" t="str">
            <v>Demented</v>
          </cell>
          <cell r="D77" t="str">
            <v>4</v>
          </cell>
          <cell r="E77">
            <v>2508</v>
          </cell>
          <cell r="F77" t="str">
            <v>M</v>
          </cell>
          <cell r="G77" t="str">
            <v>R</v>
          </cell>
          <cell r="H77">
            <v>89</v>
          </cell>
          <cell r="I77">
            <v>12</v>
          </cell>
          <cell r="J77">
            <v>4</v>
          </cell>
          <cell r="K77">
            <v>26</v>
          </cell>
          <cell r="L77">
            <v>0.5</v>
          </cell>
          <cell r="M77">
            <v>1485.48541092505</v>
          </cell>
          <cell r="N77">
            <v>0.70564499999999997</v>
          </cell>
          <cell r="O77">
            <v>1.181432</v>
          </cell>
        </row>
        <row r="78">
          <cell r="B78" t="str">
            <v>OAS2_0039_MR1</v>
          </cell>
          <cell r="C78" t="str">
            <v>Demented</v>
          </cell>
          <cell r="D78" t="str">
            <v>1</v>
          </cell>
          <cell r="E78">
            <v>0</v>
          </cell>
          <cell r="F78" t="str">
            <v>F</v>
          </cell>
          <cell r="G78" t="str">
            <v>R</v>
          </cell>
          <cell r="H78">
            <v>81</v>
          </cell>
          <cell r="I78">
            <v>18</v>
          </cell>
          <cell r="J78">
            <v>2</v>
          </cell>
          <cell r="K78">
            <v>26</v>
          </cell>
          <cell r="L78">
            <v>0.5</v>
          </cell>
          <cell r="M78">
            <v>1173.78</v>
          </cell>
          <cell r="N78">
            <v>0.74221300000000001</v>
          </cell>
          <cell r="O78">
            <v>1.4951700000000001</v>
          </cell>
        </row>
        <row r="79">
          <cell r="B79" t="str">
            <v>OAS2_0039_MR2</v>
          </cell>
          <cell r="C79" t="str">
            <v>Demented</v>
          </cell>
          <cell r="D79" t="str">
            <v>2</v>
          </cell>
          <cell r="E79">
            <v>486</v>
          </cell>
          <cell r="F79" t="str">
            <v>F</v>
          </cell>
          <cell r="G79" t="str">
            <v>R</v>
          </cell>
          <cell r="H79">
            <v>83</v>
          </cell>
          <cell r="I79">
            <v>18</v>
          </cell>
          <cell r="J79">
            <v>2</v>
          </cell>
          <cell r="K79">
            <v>25</v>
          </cell>
          <cell r="L79">
            <v>0.5</v>
          </cell>
          <cell r="M79">
            <v>1179.39664621259</v>
          </cell>
          <cell r="N79">
            <v>0.73334100000000002</v>
          </cell>
          <cell r="O79">
            <v>1.488049</v>
          </cell>
        </row>
        <row r="80">
          <cell r="B80" t="str">
            <v>OAS2_0040_MR1</v>
          </cell>
          <cell r="C80" t="str">
            <v>Demented</v>
          </cell>
          <cell r="D80" t="str">
            <v>1</v>
          </cell>
          <cell r="E80">
            <v>0</v>
          </cell>
          <cell r="F80" t="str">
            <v>M</v>
          </cell>
          <cell r="G80" t="str">
            <v>R</v>
          </cell>
          <cell r="H80">
            <v>84</v>
          </cell>
          <cell r="I80">
            <v>6</v>
          </cell>
          <cell r="J80">
            <v>4</v>
          </cell>
          <cell r="K80">
            <v>25</v>
          </cell>
          <cell r="L80">
            <v>0.5</v>
          </cell>
          <cell r="M80">
            <v>1310.33</v>
          </cell>
          <cell r="N80">
            <v>0.72725200000000001</v>
          </cell>
          <cell r="O80">
            <v>1.3393600000000001</v>
          </cell>
        </row>
        <row r="81">
          <cell r="B81" t="str">
            <v>OAS2_0040_MR2</v>
          </cell>
          <cell r="C81" t="str">
            <v>Demented</v>
          </cell>
          <cell r="D81" t="str">
            <v>2</v>
          </cell>
          <cell r="E81">
            <v>567</v>
          </cell>
          <cell r="F81" t="str">
            <v>M</v>
          </cell>
          <cell r="G81" t="str">
            <v>R</v>
          </cell>
          <cell r="H81">
            <v>86</v>
          </cell>
          <cell r="I81">
            <v>6</v>
          </cell>
          <cell r="J81">
            <v>4</v>
          </cell>
          <cell r="K81">
            <v>27</v>
          </cell>
          <cell r="L81">
            <v>0.5</v>
          </cell>
          <cell r="M81">
            <v>1320.28</v>
          </cell>
          <cell r="N81">
            <v>0.72445499999999996</v>
          </cell>
          <cell r="O81">
            <v>1.32927</v>
          </cell>
        </row>
        <row r="82">
          <cell r="B82" t="str">
            <v>OAS2_0040_MR3</v>
          </cell>
          <cell r="C82" t="str">
            <v>Demented</v>
          </cell>
          <cell r="D82" t="str">
            <v>3</v>
          </cell>
          <cell r="E82">
            <v>1204</v>
          </cell>
          <cell r="F82" t="str">
            <v>M</v>
          </cell>
          <cell r="G82" t="str">
            <v>R</v>
          </cell>
          <cell r="H82">
            <v>88</v>
          </cell>
          <cell r="I82">
            <v>6</v>
          </cell>
          <cell r="J82">
            <v>4</v>
          </cell>
          <cell r="K82">
            <v>23</v>
          </cell>
          <cell r="L82">
            <v>0.5</v>
          </cell>
          <cell r="M82">
            <v>1348.4182017249</v>
          </cell>
          <cell r="N82">
            <v>0.71349899999999999</v>
          </cell>
          <cell r="O82">
            <v>1.301525</v>
          </cell>
        </row>
        <row r="83">
          <cell r="B83" t="str">
            <v>OAS2_0041_MR1</v>
          </cell>
          <cell r="C83" t="str">
            <v>Converted</v>
          </cell>
          <cell r="D83" t="str">
            <v>1</v>
          </cell>
          <cell r="E83">
            <v>0</v>
          </cell>
          <cell r="F83" t="str">
            <v>F</v>
          </cell>
          <cell r="G83" t="str">
            <v>R</v>
          </cell>
          <cell r="H83">
            <v>71</v>
          </cell>
          <cell r="I83">
            <v>16</v>
          </cell>
          <cell r="J83">
            <v>1</v>
          </cell>
          <cell r="K83">
            <v>27</v>
          </cell>
          <cell r="L83">
            <v>0</v>
          </cell>
          <cell r="M83">
            <v>1288.5899999999999</v>
          </cell>
          <cell r="N83">
            <v>0.77130600000000005</v>
          </cell>
          <cell r="O83">
            <v>1.36195</v>
          </cell>
        </row>
        <row r="84">
          <cell r="B84" t="str">
            <v>OAS2_0041_MR2</v>
          </cell>
          <cell r="C84" t="str">
            <v>Converted</v>
          </cell>
          <cell r="D84" t="str">
            <v>2</v>
          </cell>
          <cell r="E84">
            <v>756</v>
          </cell>
          <cell r="F84" t="str">
            <v>F</v>
          </cell>
          <cell r="G84" t="str">
            <v>R</v>
          </cell>
          <cell r="H84">
            <v>73</v>
          </cell>
          <cell r="I84">
            <v>16</v>
          </cell>
          <cell r="J84">
            <v>1</v>
          </cell>
          <cell r="K84">
            <v>28</v>
          </cell>
          <cell r="L84">
            <v>0</v>
          </cell>
          <cell r="M84">
            <v>1294.54</v>
          </cell>
          <cell r="N84">
            <v>0.76765799999999995</v>
          </cell>
          <cell r="O84">
            <v>1.3556999999999999</v>
          </cell>
        </row>
        <row r="85">
          <cell r="B85" t="str">
            <v>OAS2_0041_MR3</v>
          </cell>
          <cell r="C85" t="str">
            <v>Converted</v>
          </cell>
          <cell r="D85" t="str">
            <v>3</v>
          </cell>
          <cell r="E85">
            <v>1331</v>
          </cell>
          <cell r="F85" t="str">
            <v>F</v>
          </cell>
          <cell r="G85" t="str">
            <v>R</v>
          </cell>
          <cell r="H85">
            <v>75</v>
          </cell>
          <cell r="I85">
            <v>16</v>
          </cell>
          <cell r="J85">
            <v>1</v>
          </cell>
          <cell r="K85">
            <v>28</v>
          </cell>
          <cell r="L85">
            <v>0.5</v>
          </cell>
          <cell r="M85">
            <v>1314.19427161063</v>
          </cell>
          <cell r="N85">
            <v>0.76033399999999995</v>
          </cell>
          <cell r="O85">
            <v>1.3354189999999999</v>
          </cell>
        </row>
        <row r="86">
          <cell r="B86" t="str">
            <v>OAS2_0042_MR1</v>
          </cell>
          <cell r="C86" t="str">
            <v>Nondemented</v>
          </cell>
          <cell r="D86" t="str">
            <v>1</v>
          </cell>
          <cell r="E86">
            <v>0</v>
          </cell>
          <cell r="F86" t="str">
            <v>F</v>
          </cell>
          <cell r="G86" t="str">
            <v>R</v>
          </cell>
          <cell r="H86">
            <v>70</v>
          </cell>
          <cell r="I86">
            <v>17</v>
          </cell>
          <cell r="J86">
            <v>3</v>
          </cell>
          <cell r="K86">
            <v>29</v>
          </cell>
          <cell r="L86">
            <v>0</v>
          </cell>
          <cell r="M86">
            <v>1639.61</v>
          </cell>
          <cell r="N86">
            <v>0.76576999999999995</v>
          </cell>
          <cell r="O86">
            <v>1.07037</v>
          </cell>
        </row>
        <row r="87">
          <cell r="B87" t="str">
            <v>OAS2_0042_MR2</v>
          </cell>
          <cell r="C87" t="str">
            <v>Nondemented</v>
          </cell>
          <cell r="D87" t="str">
            <v>2</v>
          </cell>
          <cell r="E87">
            <v>1008</v>
          </cell>
          <cell r="F87" t="str">
            <v>F</v>
          </cell>
          <cell r="G87" t="str">
            <v>R</v>
          </cell>
          <cell r="H87">
            <v>73</v>
          </cell>
          <cell r="I87">
            <v>17</v>
          </cell>
          <cell r="J87">
            <v>3</v>
          </cell>
          <cell r="K87">
            <v>29</v>
          </cell>
          <cell r="L87">
            <v>0</v>
          </cell>
          <cell r="M87">
            <v>1664.93</v>
          </cell>
          <cell r="N87">
            <v>0.74822200000000005</v>
          </cell>
          <cell r="O87">
            <v>1.0541</v>
          </cell>
        </row>
        <row r="88">
          <cell r="B88" t="str">
            <v>OAS2_0043_MR1</v>
          </cell>
          <cell r="C88" t="str">
            <v>Demented</v>
          </cell>
          <cell r="D88" t="str">
            <v>1</v>
          </cell>
          <cell r="E88">
            <v>0</v>
          </cell>
          <cell r="F88" t="str">
            <v>F</v>
          </cell>
          <cell r="G88" t="str">
            <v>R</v>
          </cell>
          <cell r="H88">
            <v>72</v>
          </cell>
          <cell r="I88">
            <v>12</v>
          </cell>
          <cell r="J88">
            <v>4</v>
          </cell>
          <cell r="K88">
            <v>26</v>
          </cell>
          <cell r="L88">
            <v>0.5</v>
          </cell>
          <cell r="M88">
            <v>1452.94</v>
          </cell>
          <cell r="N88">
            <v>0.777312</v>
          </cell>
          <cell r="O88">
            <v>1.2079</v>
          </cell>
        </row>
        <row r="89">
          <cell r="B89" t="str">
            <v>OAS2_0043_MR2</v>
          </cell>
          <cell r="C89" t="str">
            <v>Demented</v>
          </cell>
          <cell r="D89" t="str">
            <v>2</v>
          </cell>
          <cell r="E89">
            <v>491</v>
          </cell>
          <cell r="F89" t="str">
            <v>F</v>
          </cell>
          <cell r="G89" t="str">
            <v>R</v>
          </cell>
          <cell r="H89">
            <v>73</v>
          </cell>
          <cell r="I89">
            <v>12</v>
          </cell>
          <cell r="J89">
            <v>4</v>
          </cell>
          <cell r="K89">
            <v>26</v>
          </cell>
          <cell r="L89">
            <v>0.5</v>
          </cell>
          <cell r="M89">
            <v>1450.92404433296</v>
          </cell>
          <cell r="N89">
            <v>0.75728700000000004</v>
          </cell>
          <cell r="O89">
            <v>1.2095739999999999</v>
          </cell>
        </row>
        <row r="90">
          <cell r="B90" t="str">
            <v>OAS2_0044_MR1</v>
          </cell>
          <cell r="C90" t="str">
            <v>Demented</v>
          </cell>
          <cell r="D90" t="str">
            <v>1</v>
          </cell>
          <cell r="E90">
            <v>0</v>
          </cell>
          <cell r="F90" t="str">
            <v>M</v>
          </cell>
          <cell r="G90" t="str">
            <v>R</v>
          </cell>
          <cell r="H90">
            <v>68</v>
          </cell>
          <cell r="I90">
            <v>14</v>
          </cell>
          <cell r="J90">
            <v>4</v>
          </cell>
          <cell r="K90">
            <v>21</v>
          </cell>
          <cell r="L90">
            <v>1</v>
          </cell>
          <cell r="M90">
            <v>1332.88</v>
          </cell>
          <cell r="N90">
            <v>0.68500700000000003</v>
          </cell>
          <cell r="O90">
            <v>1.3167</v>
          </cell>
        </row>
        <row r="91">
          <cell r="B91" t="str">
            <v>OAS2_0044_MR2</v>
          </cell>
          <cell r="C91" t="str">
            <v>Demented</v>
          </cell>
          <cell r="D91" t="str">
            <v>2</v>
          </cell>
          <cell r="E91">
            <v>352</v>
          </cell>
          <cell r="F91" t="str">
            <v>M</v>
          </cell>
          <cell r="G91" t="str">
            <v>R</v>
          </cell>
          <cell r="H91">
            <v>69</v>
          </cell>
          <cell r="I91">
            <v>14</v>
          </cell>
          <cell r="J91">
            <v>4</v>
          </cell>
          <cell r="K91">
            <v>15</v>
          </cell>
          <cell r="L91">
            <v>1</v>
          </cell>
          <cell r="M91">
            <v>1331.19</v>
          </cell>
          <cell r="N91">
            <v>0.67820800000000003</v>
          </cell>
          <cell r="O91">
            <v>1.31837</v>
          </cell>
        </row>
        <row r="92">
          <cell r="B92" t="str">
            <v>OAS2_0044_MR3</v>
          </cell>
          <cell r="C92" t="str">
            <v>Demented</v>
          </cell>
          <cell r="D92" t="str">
            <v>3</v>
          </cell>
          <cell r="E92">
            <v>866</v>
          </cell>
          <cell r="F92" t="str">
            <v>M</v>
          </cell>
          <cell r="G92" t="str">
            <v>R</v>
          </cell>
          <cell r="H92">
            <v>71</v>
          </cell>
          <cell r="I92">
            <v>14</v>
          </cell>
          <cell r="J92">
            <v>4</v>
          </cell>
          <cell r="K92">
            <v>22</v>
          </cell>
          <cell r="L92">
            <v>1</v>
          </cell>
          <cell r="M92">
            <v>1332.46</v>
          </cell>
          <cell r="N92">
            <v>0.67918400000000001</v>
          </cell>
          <cell r="O92">
            <v>1.31711</v>
          </cell>
        </row>
        <row r="93">
          <cell r="B93" t="str">
            <v>OAS2_0045_MR1</v>
          </cell>
          <cell r="C93" t="str">
            <v>Nondemented</v>
          </cell>
          <cell r="D93" t="str">
            <v>1</v>
          </cell>
          <cell r="E93">
            <v>0</v>
          </cell>
          <cell r="F93" t="str">
            <v>F</v>
          </cell>
          <cell r="G93" t="str">
            <v>R</v>
          </cell>
          <cell r="H93">
            <v>75</v>
          </cell>
          <cell r="I93">
            <v>18</v>
          </cell>
          <cell r="J93">
            <v>1</v>
          </cell>
          <cell r="K93">
            <v>30</v>
          </cell>
          <cell r="L93">
            <v>0</v>
          </cell>
          <cell r="M93">
            <v>1317.19</v>
          </cell>
          <cell r="N93">
            <v>0.73708899999999999</v>
          </cell>
          <cell r="O93">
            <v>1.3323799999999999</v>
          </cell>
        </row>
        <row r="94">
          <cell r="B94" t="str">
            <v>OAS2_0045_MR2</v>
          </cell>
          <cell r="C94" t="str">
            <v>Nondemented</v>
          </cell>
          <cell r="D94" t="str">
            <v>2</v>
          </cell>
          <cell r="E94">
            <v>689</v>
          </cell>
          <cell r="F94" t="str">
            <v>F</v>
          </cell>
          <cell r="G94" t="str">
            <v>R</v>
          </cell>
          <cell r="H94">
            <v>77</v>
          </cell>
          <cell r="I94">
            <v>18</v>
          </cell>
          <cell r="J94">
            <v>1</v>
          </cell>
          <cell r="K94">
            <v>29</v>
          </cell>
          <cell r="L94">
            <v>0</v>
          </cell>
          <cell r="M94">
            <v>1322.3935096474399</v>
          </cell>
          <cell r="N94">
            <v>0.73146299999999997</v>
          </cell>
          <cell r="O94">
            <v>1.3271390000000001</v>
          </cell>
        </row>
        <row r="95">
          <cell r="B95" t="str">
            <v>OAS2_0046_MR1</v>
          </cell>
          <cell r="C95" t="str">
            <v>Demented</v>
          </cell>
          <cell r="D95" t="str">
            <v>1</v>
          </cell>
          <cell r="E95">
            <v>0</v>
          </cell>
          <cell r="F95" t="str">
            <v>F</v>
          </cell>
          <cell r="G95" t="str">
            <v>R</v>
          </cell>
          <cell r="H95">
            <v>83</v>
          </cell>
          <cell r="I95">
            <v>15</v>
          </cell>
          <cell r="J95">
            <v>2</v>
          </cell>
          <cell r="K95">
            <v>20</v>
          </cell>
          <cell r="L95">
            <v>0.5</v>
          </cell>
          <cell r="M95">
            <v>1476.09</v>
          </cell>
          <cell r="N95">
            <v>0.74973100000000004</v>
          </cell>
          <cell r="O95">
            <v>1.18895</v>
          </cell>
        </row>
        <row r="96">
          <cell r="B96" t="str">
            <v>OAS2_0046_MR2</v>
          </cell>
          <cell r="C96" t="str">
            <v>Demented</v>
          </cell>
          <cell r="D96" t="str">
            <v>2</v>
          </cell>
          <cell r="E96">
            <v>575</v>
          </cell>
          <cell r="F96" t="str">
            <v>F</v>
          </cell>
          <cell r="G96" t="str">
            <v>R</v>
          </cell>
          <cell r="H96">
            <v>85</v>
          </cell>
          <cell r="I96">
            <v>15</v>
          </cell>
          <cell r="J96">
            <v>2</v>
          </cell>
          <cell r="K96">
            <v>22</v>
          </cell>
          <cell r="L96">
            <v>1</v>
          </cell>
          <cell r="M96">
            <v>1483.25</v>
          </cell>
          <cell r="N96">
            <v>0.74774200000000002</v>
          </cell>
          <cell r="O96">
            <v>1.1832100000000001</v>
          </cell>
        </row>
        <row r="97">
          <cell r="B97" t="str">
            <v>OAS2_0047_MR1</v>
          </cell>
          <cell r="C97" t="str">
            <v>Nondemented</v>
          </cell>
          <cell r="D97" t="str">
            <v>1</v>
          </cell>
          <cell r="E97">
            <v>0</v>
          </cell>
          <cell r="F97" t="str">
            <v>F</v>
          </cell>
          <cell r="G97" t="str">
            <v>R</v>
          </cell>
          <cell r="H97">
            <v>77</v>
          </cell>
          <cell r="I97">
            <v>16</v>
          </cell>
          <cell r="J97">
            <v>2</v>
          </cell>
          <cell r="K97">
            <v>29</v>
          </cell>
          <cell r="L97">
            <v>0</v>
          </cell>
          <cell r="M97">
            <v>1432.67</v>
          </cell>
          <cell r="N97">
            <v>0.72255400000000003</v>
          </cell>
          <cell r="O97">
            <v>1.22498</v>
          </cell>
        </row>
        <row r="98">
          <cell r="B98" t="str">
            <v>OAS2_0047_MR2</v>
          </cell>
          <cell r="C98" t="str">
            <v>Nondemented</v>
          </cell>
          <cell r="D98" t="str">
            <v>2</v>
          </cell>
          <cell r="E98">
            <v>486</v>
          </cell>
          <cell r="F98" t="str">
            <v>F</v>
          </cell>
          <cell r="G98" t="str">
            <v>R</v>
          </cell>
          <cell r="H98">
            <v>78</v>
          </cell>
          <cell r="I98">
            <v>16</v>
          </cell>
          <cell r="J98">
            <v>2</v>
          </cell>
          <cell r="K98">
            <v>27</v>
          </cell>
          <cell r="L98">
            <v>0</v>
          </cell>
          <cell r="M98">
            <v>1413.5636059323001</v>
          </cell>
          <cell r="N98">
            <v>0.72668900000000003</v>
          </cell>
          <cell r="O98">
            <v>1.2415430000000001</v>
          </cell>
        </row>
        <row r="99">
          <cell r="B99" t="str">
            <v>OAS2_0048_MR1</v>
          </cell>
          <cell r="C99" t="str">
            <v>Demented</v>
          </cell>
          <cell r="D99" t="str">
            <v>1</v>
          </cell>
          <cell r="E99">
            <v>0</v>
          </cell>
          <cell r="F99" t="str">
            <v>M</v>
          </cell>
          <cell r="G99" t="str">
            <v>R</v>
          </cell>
          <cell r="H99">
            <v>66</v>
          </cell>
          <cell r="I99">
            <v>16</v>
          </cell>
          <cell r="J99">
            <v>1</v>
          </cell>
          <cell r="K99">
            <v>19</v>
          </cell>
          <cell r="L99">
            <v>1</v>
          </cell>
          <cell r="M99">
            <v>1694.62</v>
          </cell>
          <cell r="N99">
            <v>0.71057199999999998</v>
          </cell>
          <cell r="O99">
            <v>1.0356300000000001</v>
          </cell>
        </row>
        <row r="100">
          <cell r="B100" t="str">
            <v>OAS2_0048_MR2</v>
          </cell>
          <cell r="C100" t="str">
            <v>Demented</v>
          </cell>
          <cell r="D100" t="str">
            <v>2</v>
          </cell>
          <cell r="E100">
            <v>248</v>
          </cell>
          <cell r="F100" t="str">
            <v>M</v>
          </cell>
          <cell r="G100" t="str">
            <v>R</v>
          </cell>
          <cell r="H100">
            <v>66</v>
          </cell>
          <cell r="I100">
            <v>16</v>
          </cell>
          <cell r="J100">
            <v>1</v>
          </cell>
          <cell r="K100">
            <v>21</v>
          </cell>
          <cell r="L100">
            <v>1</v>
          </cell>
          <cell r="M100">
            <v>1707.73</v>
          </cell>
          <cell r="N100">
            <v>0.70276700000000003</v>
          </cell>
          <cell r="O100">
            <v>1.0276799999999999</v>
          </cell>
        </row>
        <row r="101">
          <cell r="B101" t="str">
            <v>OAS2_0048_MR3</v>
          </cell>
          <cell r="C101" t="str">
            <v>Demented</v>
          </cell>
          <cell r="D101" t="str">
            <v>3</v>
          </cell>
          <cell r="E101">
            <v>647</v>
          </cell>
          <cell r="F101" t="str">
            <v>M</v>
          </cell>
          <cell r="G101" t="str">
            <v>R</v>
          </cell>
          <cell r="H101">
            <v>68</v>
          </cell>
          <cell r="I101">
            <v>16</v>
          </cell>
          <cell r="J101">
            <v>1</v>
          </cell>
          <cell r="K101">
            <v>19</v>
          </cell>
          <cell r="L101">
            <v>1</v>
          </cell>
          <cell r="M101">
            <v>1711.77</v>
          </cell>
          <cell r="N101">
            <v>0.69099999999999995</v>
          </cell>
          <cell r="O101">
            <v>1.0252600000000001</v>
          </cell>
        </row>
        <row r="102">
          <cell r="B102" t="str">
            <v>OAS2_0048_MR4</v>
          </cell>
          <cell r="C102" t="str">
            <v>Demented</v>
          </cell>
          <cell r="D102" t="str">
            <v>4</v>
          </cell>
          <cell r="E102">
            <v>970</v>
          </cell>
          <cell r="F102" t="str">
            <v>M</v>
          </cell>
          <cell r="G102" t="str">
            <v>R</v>
          </cell>
          <cell r="H102">
            <v>68</v>
          </cell>
          <cell r="I102">
            <v>16</v>
          </cell>
          <cell r="J102">
            <v>1</v>
          </cell>
          <cell r="K102">
            <v>7</v>
          </cell>
          <cell r="L102">
            <v>1</v>
          </cell>
          <cell r="M102">
            <v>1713.53</v>
          </cell>
          <cell r="N102">
            <v>0.68162</v>
          </cell>
          <cell r="O102">
            <v>1.0242</v>
          </cell>
        </row>
        <row r="103">
          <cell r="B103" t="str">
            <v>OAS2_0048_MR5</v>
          </cell>
          <cell r="C103" t="str">
            <v>Demented</v>
          </cell>
          <cell r="D103" t="str">
            <v>5</v>
          </cell>
          <cell r="E103">
            <v>1233</v>
          </cell>
          <cell r="F103" t="str">
            <v>M</v>
          </cell>
          <cell r="G103" t="str">
            <v>R</v>
          </cell>
          <cell r="H103">
            <v>69</v>
          </cell>
          <cell r="I103">
            <v>16</v>
          </cell>
          <cell r="J103">
            <v>1</v>
          </cell>
          <cell r="K103">
            <v>4</v>
          </cell>
          <cell r="L103">
            <v>1</v>
          </cell>
          <cell r="M103">
            <v>1700.97</v>
          </cell>
          <cell r="N103">
            <v>0.676122</v>
          </cell>
          <cell r="O103">
            <v>1.03176</v>
          </cell>
        </row>
        <row r="104">
          <cell r="B104" t="str">
            <v>OAS2_0049_MR1</v>
          </cell>
          <cell r="C104" t="str">
            <v>Nondemented</v>
          </cell>
          <cell r="D104" t="str">
            <v>1</v>
          </cell>
          <cell r="E104">
            <v>0</v>
          </cell>
          <cell r="F104" t="str">
            <v>F</v>
          </cell>
          <cell r="G104" t="str">
            <v>R</v>
          </cell>
          <cell r="H104">
            <v>69</v>
          </cell>
          <cell r="I104">
            <v>16</v>
          </cell>
          <cell r="J104">
            <v>3</v>
          </cell>
          <cell r="K104">
            <v>30</v>
          </cell>
          <cell r="L104">
            <v>0</v>
          </cell>
          <cell r="M104">
            <v>1491.19</v>
          </cell>
          <cell r="N104">
            <v>0.79428200000000004</v>
          </cell>
          <cell r="O104">
            <v>1.1769099999999999</v>
          </cell>
        </row>
        <row r="105">
          <cell r="B105" t="str">
            <v>OAS2_0049_MR2</v>
          </cell>
          <cell r="C105" t="str">
            <v>Nondemented</v>
          </cell>
          <cell r="D105" t="str">
            <v>2</v>
          </cell>
          <cell r="E105">
            <v>395</v>
          </cell>
          <cell r="F105" t="str">
            <v>F</v>
          </cell>
          <cell r="G105" t="str">
            <v>R</v>
          </cell>
          <cell r="H105">
            <v>70</v>
          </cell>
          <cell r="I105">
            <v>16</v>
          </cell>
          <cell r="J105">
            <v>3</v>
          </cell>
          <cell r="K105">
            <v>30</v>
          </cell>
          <cell r="L105">
            <v>0</v>
          </cell>
          <cell r="M105">
            <v>1504.83</v>
          </cell>
          <cell r="N105">
            <v>0.79112099999999996</v>
          </cell>
          <cell r="O105">
            <v>1.1662399999999999</v>
          </cell>
        </row>
        <row r="106">
          <cell r="B106" t="str">
            <v>OAS2_0049_MR3</v>
          </cell>
          <cell r="C106" t="str">
            <v>Nondemented</v>
          </cell>
          <cell r="D106" t="str">
            <v>3</v>
          </cell>
          <cell r="E106">
            <v>687</v>
          </cell>
          <cell r="F106" t="str">
            <v>F</v>
          </cell>
          <cell r="G106" t="str">
            <v>R</v>
          </cell>
          <cell r="H106">
            <v>71</v>
          </cell>
          <cell r="I106">
            <v>16</v>
          </cell>
          <cell r="J106">
            <v>3</v>
          </cell>
          <cell r="K106">
            <v>30</v>
          </cell>
          <cell r="L106">
            <v>0</v>
          </cell>
          <cell r="M106">
            <v>1502.9</v>
          </cell>
          <cell r="N106">
            <v>0.78765200000000002</v>
          </cell>
          <cell r="O106">
            <v>1.16774</v>
          </cell>
        </row>
        <row r="107">
          <cell r="B107" t="str">
            <v>OAS2_0050_MR1</v>
          </cell>
          <cell r="C107" t="str">
            <v>Demented</v>
          </cell>
          <cell r="D107" t="str">
            <v>1</v>
          </cell>
          <cell r="E107">
            <v>0</v>
          </cell>
          <cell r="F107" t="str">
            <v>M</v>
          </cell>
          <cell r="G107" t="str">
            <v>R</v>
          </cell>
          <cell r="H107">
            <v>71</v>
          </cell>
          <cell r="I107">
            <v>12</v>
          </cell>
          <cell r="J107">
            <v>4</v>
          </cell>
          <cell r="K107">
            <v>20</v>
          </cell>
          <cell r="L107">
            <v>0.5</v>
          </cell>
          <cell r="M107">
            <v>1460.55</v>
          </cell>
          <cell r="N107">
            <v>0.72357000000000005</v>
          </cell>
          <cell r="O107">
            <v>1.2016</v>
          </cell>
        </row>
        <row r="108">
          <cell r="B108" t="str">
            <v>OAS2_0050_MR2</v>
          </cell>
          <cell r="C108" t="str">
            <v>Demented</v>
          </cell>
          <cell r="D108" t="str">
            <v>2</v>
          </cell>
          <cell r="E108">
            <v>538</v>
          </cell>
          <cell r="F108" t="str">
            <v>M</v>
          </cell>
          <cell r="G108" t="str">
            <v>R</v>
          </cell>
          <cell r="H108">
            <v>72</v>
          </cell>
          <cell r="I108">
            <v>12</v>
          </cell>
          <cell r="J108">
            <v>4</v>
          </cell>
          <cell r="K108">
            <v>17</v>
          </cell>
          <cell r="L108">
            <v>1</v>
          </cell>
          <cell r="M108">
            <v>1482.77</v>
          </cell>
          <cell r="N108">
            <v>0.69512300000000005</v>
          </cell>
          <cell r="O108">
            <v>1.1835899999999999</v>
          </cell>
        </row>
        <row r="109">
          <cell r="B109" t="str">
            <v>OAS2_0051_MR1</v>
          </cell>
          <cell r="C109" t="str">
            <v>Nondemented</v>
          </cell>
          <cell r="D109" t="str">
            <v>1</v>
          </cell>
          <cell r="E109">
            <v>0</v>
          </cell>
          <cell r="F109" t="str">
            <v>F</v>
          </cell>
          <cell r="G109" t="str">
            <v>R</v>
          </cell>
          <cell r="H109">
            <v>92</v>
          </cell>
          <cell r="I109">
            <v>23</v>
          </cell>
          <cell r="J109">
            <v>1</v>
          </cell>
          <cell r="K109">
            <v>29</v>
          </cell>
          <cell r="L109">
            <v>0</v>
          </cell>
          <cell r="M109">
            <v>1454.28</v>
          </cell>
          <cell r="N109">
            <v>0.70115499999999997</v>
          </cell>
          <cell r="O109">
            <v>1.20678</v>
          </cell>
        </row>
        <row r="110">
          <cell r="B110" t="str">
            <v>OAS2_0051_MR2</v>
          </cell>
          <cell r="C110" t="str">
            <v>Nondemented</v>
          </cell>
          <cell r="D110" t="str">
            <v>2</v>
          </cell>
          <cell r="E110">
            <v>457</v>
          </cell>
          <cell r="F110" t="str">
            <v>F</v>
          </cell>
          <cell r="G110" t="str">
            <v>R</v>
          </cell>
          <cell r="H110">
            <v>94</v>
          </cell>
          <cell r="I110">
            <v>23</v>
          </cell>
          <cell r="J110">
            <v>1</v>
          </cell>
          <cell r="K110">
            <v>29</v>
          </cell>
          <cell r="L110">
            <v>0</v>
          </cell>
          <cell r="M110">
            <v>1474.35</v>
          </cell>
          <cell r="N110">
            <v>0.69600399999999996</v>
          </cell>
          <cell r="O110">
            <v>1.19035</v>
          </cell>
        </row>
        <row r="111">
          <cell r="B111" t="str">
            <v>OAS2_0051_MR3</v>
          </cell>
          <cell r="C111" t="str">
            <v>Nondemented</v>
          </cell>
          <cell r="D111" t="str">
            <v>3</v>
          </cell>
          <cell r="E111">
            <v>1526</v>
          </cell>
          <cell r="F111" t="str">
            <v>F</v>
          </cell>
          <cell r="G111" t="str">
            <v>R</v>
          </cell>
          <cell r="H111">
            <v>97</v>
          </cell>
          <cell r="I111">
            <v>23</v>
          </cell>
          <cell r="J111">
            <v>1</v>
          </cell>
          <cell r="K111">
            <v>30</v>
          </cell>
          <cell r="L111">
            <v>0</v>
          </cell>
          <cell r="M111">
            <v>1482.54524719647</v>
          </cell>
          <cell r="N111">
            <v>0.68918800000000002</v>
          </cell>
          <cell r="O111">
            <v>1.183775</v>
          </cell>
        </row>
        <row r="112">
          <cell r="B112" t="str">
            <v>OAS2_0052_MR1</v>
          </cell>
          <cell r="C112" t="str">
            <v>Nondemented</v>
          </cell>
          <cell r="D112" t="str">
            <v>1</v>
          </cell>
          <cell r="E112">
            <v>0</v>
          </cell>
          <cell r="F112" t="str">
            <v>M</v>
          </cell>
          <cell r="G112" t="str">
            <v>R</v>
          </cell>
          <cell r="H112">
            <v>74</v>
          </cell>
          <cell r="I112">
            <v>18</v>
          </cell>
          <cell r="J112">
            <v>2</v>
          </cell>
          <cell r="K112">
            <v>29</v>
          </cell>
          <cell r="L112">
            <v>0</v>
          </cell>
          <cell r="M112">
            <v>1463.47320968444</v>
          </cell>
          <cell r="N112">
            <v>0.73695600000000006</v>
          </cell>
          <cell r="O112">
            <v>1.1992020000000001</v>
          </cell>
        </row>
        <row r="113">
          <cell r="B113" t="str">
            <v>OAS2_0052_MR2</v>
          </cell>
          <cell r="C113" t="str">
            <v>Nondemented</v>
          </cell>
          <cell r="D113" t="str">
            <v>2</v>
          </cell>
          <cell r="E113">
            <v>1510</v>
          </cell>
          <cell r="F113" t="str">
            <v>M</v>
          </cell>
          <cell r="G113" t="str">
            <v>R</v>
          </cell>
          <cell r="H113">
            <v>78</v>
          </cell>
          <cell r="I113">
            <v>18</v>
          </cell>
          <cell r="J113">
            <v>2</v>
          </cell>
          <cell r="K113">
            <v>30</v>
          </cell>
          <cell r="L113">
            <v>0</v>
          </cell>
          <cell r="M113">
            <v>1483.5566135347699</v>
          </cell>
          <cell r="N113">
            <v>0.70324200000000003</v>
          </cell>
          <cell r="O113">
            <v>1.182968</v>
          </cell>
        </row>
        <row r="114">
          <cell r="B114" t="str">
            <v>OAS2_0053_MR1</v>
          </cell>
          <cell r="C114" t="str">
            <v>Nondemented</v>
          </cell>
          <cell r="D114" t="str">
            <v>1</v>
          </cell>
          <cell r="E114">
            <v>0</v>
          </cell>
          <cell r="F114" t="str">
            <v>F</v>
          </cell>
          <cell r="G114" t="str">
            <v>R</v>
          </cell>
          <cell r="H114">
            <v>82</v>
          </cell>
          <cell r="I114">
            <v>16</v>
          </cell>
          <cell r="J114">
            <v>3</v>
          </cell>
          <cell r="K114">
            <v>29</v>
          </cell>
          <cell r="L114">
            <v>0</v>
          </cell>
          <cell r="M114">
            <v>1484.03</v>
          </cell>
          <cell r="N114">
            <v>0.75965199999999999</v>
          </cell>
          <cell r="O114">
            <v>1.18259</v>
          </cell>
        </row>
        <row r="115">
          <cell r="B115" t="str">
            <v>OAS2_0053_MR2</v>
          </cell>
          <cell r="C115" t="str">
            <v>Nondemented</v>
          </cell>
          <cell r="D115" t="str">
            <v>2</v>
          </cell>
          <cell r="E115">
            <v>842</v>
          </cell>
          <cell r="F115" t="str">
            <v>F</v>
          </cell>
          <cell r="G115" t="str">
            <v>R</v>
          </cell>
          <cell r="H115">
            <v>84</v>
          </cell>
          <cell r="I115">
            <v>16</v>
          </cell>
          <cell r="J115">
            <v>3</v>
          </cell>
          <cell r="K115">
            <v>28</v>
          </cell>
          <cell r="L115">
            <v>0</v>
          </cell>
          <cell r="M115">
            <v>1499.56</v>
          </cell>
          <cell r="N115">
            <v>0.74400100000000002</v>
          </cell>
          <cell r="O115">
            <v>1.17035</v>
          </cell>
        </row>
        <row r="116">
          <cell r="B116" t="str">
            <v>OAS2_0054_MR1</v>
          </cell>
          <cell r="C116" t="str">
            <v>Converted</v>
          </cell>
          <cell r="D116" t="str">
            <v>1</v>
          </cell>
          <cell r="E116">
            <v>0</v>
          </cell>
          <cell r="F116" t="str">
            <v>F</v>
          </cell>
          <cell r="G116" t="str">
            <v>R</v>
          </cell>
          <cell r="H116">
            <v>85</v>
          </cell>
          <cell r="I116">
            <v>18</v>
          </cell>
          <cell r="J116">
            <v>1</v>
          </cell>
          <cell r="K116">
            <v>29</v>
          </cell>
          <cell r="L116">
            <v>0</v>
          </cell>
          <cell r="M116">
            <v>1264.4000000000001</v>
          </cell>
          <cell r="N116">
            <v>0.70095600000000002</v>
          </cell>
          <cell r="O116">
            <v>1.38801</v>
          </cell>
        </row>
        <row r="117">
          <cell r="B117" t="str">
            <v>OAS2_0054_MR2</v>
          </cell>
          <cell r="C117" t="str">
            <v>Converted</v>
          </cell>
          <cell r="D117" t="str">
            <v>2</v>
          </cell>
          <cell r="E117">
            <v>846</v>
          </cell>
          <cell r="F117" t="str">
            <v>F</v>
          </cell>
          <cell r="G117" t="str">
            <v>R</v>
          </cell>
          <cell r="H117">
            <v>87</v>
          </cell>
          <cell r="I117">
            <v>18</v>
          </cell>
          <cell r="J117">
            <v>1</v>
          </cell>
          <cell r="K117">
            <v>24</v>
          </cell>
          <cell r="L117">
            <v>0.5</v>
          </cell>
          <cell r="M117">
            <v>1275.18</v>
          </cell>
          <cell r="N117">
            <v>0.68266499999999997</v>
          </cell>
          <cell r="O117">
            <v>1.3762700000000001</v>
          </cell>
        </row>
        <row r="118">
          <cell r="B118" t="str">
            <v>OAS2_0055_MR1</v>
          </cell>
          <cell r="C118" t="str">
            <v>Nondemented</v>
          </cell>
          <cell r="D118" t="str">
            <v>1</v>
          </cell>
          <cell r="E118">
            <v>0</v>
          </cell>
          <cell r="F118" t="str">
            <v>M</v>
          </cell>
          <cell r="G118" t="str">
            <v>R</v>
          </cell>
          <cell r="H118">
            <v>65</v>
          </cell>
          <cell r="I118">
            <v>13</v>
          </cell>
          <cell r="J118">
            <v>3</v>
          </cell>
          <cell r="K118">
            <v>29</v>
          </cell>
          <cell r="L118">
            <v>0</v>
          </cell>
          <cell r="M118">
            <v>1361.61</v>
          </cell>
          <cell r="N118">
            <v>0.83684199999999997</v>
          </cell>
          <cell r="O118">
            <v>1.28891</v>
          </cell>
        </row>
        <row r="119">
          <cell r="B119" t="str">
            <v>OAS2_0055_MR2</v>
          </cell>
          <cell r="C119" t="str">
            <v>Nondemented</v>
          </cell>
          <cell r="D119" t="str">
            <v>2</v>
          </cell>
          <cell r="E119">
            <v>726</v>
          </cell>
          <cell r="F119" t="str">
            <v>M</v>
          </cell>
          <cell r="G119" t="str">
            <v>R</v>
          </cell>
          <cell r="H119">
            <v>67</v>
          </cell>
          <cell r="I119">
            <v>13</v>
          </cell>
          <cell r="J119">
            <v>3</v>
          </cell>
          <cell r="K119">
            <v>27</v>
          </cell>
          <cell r="L119">
            <v>0</v>
          </cell>
          <cell r="M119">
            <v>1365.26</v>
          </cell>
          <cell r="N119">
            <v>0.82657099999999994</v>
          </cell>
          <cell r="O119">
            <v>1.2854699999999999</v>
          </cell>
        </row>
        <row r="120">
          <cell r="B120" t="str">
            <v>OAS2_0056_MR1</v>
          </cell>
          <cell r="C120" t="str">
            <v>Nondemented</v>
          </cell>
          <cell r="D120" t="str">
            <v>1</v>
          </cell>
          <cell r="E120">
            <v>0</v>
          </cell>
          <cell r="F120" t="str">
            <v>F</v>
          </cell>
          <cell r="G120" t="str">
            <v>R</v>
          </cell>
          <cell r="H120">
            <v>71</v>
          </cell>
          <cell r="I120">
            <v>14</v>
          </cell>
          <cell r="J120">
            <v>2</v>
          </cell>
          <cell r="K120">
            <v>28</v>
          </cell>
          <cell r="L120">
            <v>0</v>
          </cell>
          <cell r="M120">
            <v>1460.66</v>
          </cell>
          <cell r="N120">
            <v>0.75566900000000004</v>
          </cell>
          <cell r="O120">
            <v>1.2015100000000001</v>
          </cell>
        </row>
        <row r="121">
          <cell r="B121" t="str">
            <v>OAS2_0056_MR2</v>
          </cell>
          <cell r="C121" t="str">
            <v>Nondemented</v>
          </cell>
          <cell r="D121" t="str">
            <v>2</v>
          </cell>
          <cell r="E121">
            <v>622</v>
          </cell>
          <cell r="F121" t="str">
            <v>F</v>
          </cell>
          <cell r="G121" t="str">
            <v>R</v>
          </cell>
          <cell r="H121">
            <v>73</v>
          </cell>
          <cell r="I121">
            <v>14</v>
          </cell>
          <cell r="J121">
            <v>2</v>
          </cell>
          <cell r="K121">
            <v>30</v>
          </cell>
          <cell r="L121">
            <v>0</v>
          </cell>
          <cell r="M121">
            <v>1456.47</v>
          </cell>
          <cell r="N121">
            <v>0.73858100000000004</v>
          </cell>
          <cell r="O121">
            <v>1.2049700000000001</v>
          </cell>
        </row>
        <row r="122">
          <cell r="B122" t="str">
            <v>OAS2_0057_MR1</v>
          </cell>
          <cell r="C122" t="str">
            <v>Nondemented</v>
          </cell>
          <cell r="D122" t="str">
            <v>1</v>
          </cell>
          <cell r="E122">
            <v>0</v>
          </cell>
          <cell r="F122" t="str">
            <v>F</v>
          </cell>
          <cell r="G122" t="str">
            <v>R</v>
          </cell>
          <cell r="H122">
            <v>81</v>
          </cell>
          <cell r="I122">
            <v>12</v>
          </cell>
          <cell r="J122">
            <v>2</v>
          </cell>
          <cell r="K122">
            <v>30</v>
          </cell>
          <cell r="L122">
            <v>0</v>
          </cell>
          <cell r="M122">
            <v>1598.6</v>
          </cell>
          <cell r="N122">
            <v>0.75548499999999996</v>
          </cell>
          <cell r="O122">
            <v>1.0978399999999999</v>
          </cell>
        </row>
        <row r="123">
          <cell r="B123" t="str">
            <v>OAS2_0057_MR2</v>
          </cell>
          <cell r="C123" t="str">
            <v>Nondemented</v>
          </cell>
          <cell r="D123" t="str">
            <v>2</v>
          </cell>
          <cell r="E123">
            <v>640</v>
          </cell>
          <cell r="F123" t="str">
            <v>F</v>
          </cell>
          <cell r="G123" t="str">
            <v>R</v>
          </cell>
          <cell r="H123">
            <v>83</v>
          </cell>
          <cell r="I123">
            <v>12</v>
          </cell>
          <cell r="J123">
            <v>2</v>
          </cell>
          <cell r="K123">
            <v>29</v>
          </cell>
          <cell r="L123">
            <v>0</v>
          </cell>
          <cell r="M123">
            <v>1569.21</v>
          </cell>
          <cell r="N123">
            <v>0.756579</v>
          </cell>
          <cell r="O123">
            <v>1.1184000000000001</v>
          </cell>
        </row>
        <row r="124">
          <cell r="B124" t="str">
            <v>OAS2_0057_MR3</v>
          </cell>
          <cell r="C124" t="str">
            <v>Nondemented</v>
          </cell>
          <cell r="D124" t="str">
            <v>3</v>
          </cell>
          <cell r="E124">
            <v>1340</v>
          </cell>
          <cell r="F124" t="str">
            <v>F</v>
          </cell>
          <cell r="G124" t="str">
            <v>R</v>
          </cell>
          <cell r="H124">
            <v>85</v>
          </cell>
          <cell r="I124">
            <v>12</v>
          </cell>
          <cell r="J124">
            <v>2</v>
          </cell>
          <cell r="K124">
            <v>30</v>
          </cell>
          <cell r="L124">
            <v>0</v>
          </cell>
          <cell r="M124">
            <v>1579.6778717283601</v>
          </cell>
          <cell r="N124">
            <v>0.73865199999999998</v>
          </cell>
          <cell r="O124">
            <v>1.110986</v>
          </cell>
        </row>
        <row r="125">
          <cell r="B125" t="str">
            <v>OAS2_0058_MR1</v>
          </cell>
          <cell r="C125" t="str">
            <v>Demented</v>
          </cell>
          <cell r="D125" t="str">
            <v>1</v>
          </cell>
          <cell r="E125">
            <v>0</v>
          </cell>
          <cell r="F125" t="str">
            <v>M</v>
          </cell>
          <cell r="G125" t="str">
            <v>R</v>
          </cell>
          <cell r="H125">
            <v>78</v>
          </cell>
          <cell r="I125">
            <v>14</v>
          </cell>
          <cell r="J125">
            <v>3</v>
          </cell>
          <cell r="K125">
            <v>30</v>
          </cell>
          <cell r="L125">
            <v>0.5</v>
          </cell>
          <cell r="M125">
            <v>1314.52</v>
          </cell>
          <cell r="N125">
            <v>0.70686099999999996</v>
          </cell>
          <cell r="O125">
            <v>1.3350900000000001</v>
          </cell>
        </row>
        <row r="126">
          <cell r="B126" t="str">
            <v>OAS2_0058_MR2</v>
          </cell>
          <cell r="C126" t="str">
            <v>Demented</v>
          </cell>
          <cell r="D126" t="str">
            <v>2</v>
          </cell>
          <cell r="E126">
            <v>212</v>
          </cell>
          <cell r="F126" t="str">
            <v>M</v>
          </cell>
          <cell r="G126" t="str">
            <v>R</v>
          </cell>
          <cell r="H126">
            <v>79</v>
          </cell>
          <cell r="I126">
            <v>14</v>
          </cell>
          <cell r="J126">
            <v>3</v>
          </cell>
          <cell r="K126">
            <v>26</v>
          </cell>
          <cell r="L126">
            <v>0.5</v>
          </cell>
          <cell r="M126">
            <v>1308.48</v>
          </cell>
          <cell r="N126">
            <v>0.706287</v>
          </cell>
          <cell r="O126">
            <v>1.3412500000000001</v>
          </cell>
        </row>
        <row r="127">
          <cell r="B127" t="str">
            <v>OAS2_0058_MR3</v>
          </cell>
          <cell r="C127" t="str">
            <v>Demented</v>
          </cell>
          <cell r="D127" t="str">
            <v>3</v>
          </cell>
          <cell r="E127">
            <v>764</v>
          </cell>
          <cell r="F127" t="str">
            <v>M</v>
          </cell>
          <cell r="G127" t="str">
            <v>R</v>
          </cell>
          <cell r="H127">
            <v>80</v>
          </cell>
          <cell r="I127">
            <v>14</v>
          </cell>
          <cell r="J127">
            <v>3</v>
          </cell>
          <cell r="K127">
            <v>29</v>
          </cell>
          <cell r="L127">
            <v>0.5</v>
          </cell>
          <cell r="M127">
            <v>1323.73</v>
          </cell>
          <cell r="N127">
            <v>0.69546200000000002</v>
          </cell>
          <cell r="O127">
            <v>1.3258000000000001</v>
          </cell>
        </row>
        <row r="128">
          <cell r="B128" t="str">
            <v>OAS2_0060_MR1</v>
          </cell>
          <cell r="C128" t="str">
            <v>Demented</v>
          </cell>
          <cell r="D128" t="str">
            <v>1</v>
          </cell>
          <cell r="E128">
            <v>0</v>
          </cell>
          <cell r="F128" t="str">
            <v>M</v>
          </cell>
          <cell r="G128" t="str">
            <v>R</v>
          </cell>
          <cell r="H128">
            <v>75</v>
          </cell>
          <cell r="I128">
            <v>13</v>
          </cell>
          <cell r="J128">
            <v>4</v>
          </cell>
          <cell r="K128">
            <v>29</v>
          </cell>
          <cell r="L128">
            <v>0.5</v>
          </cell>
          <cell r="M128">
            <v>1416.13</v>
          </cell>
          <cell r="N128">
            <v>0.76627100000000004</v>
          </cell>
          <cell r="O128">
            <v>1.2393000000000001</v>
          </cell>
        </row>
        <row r="129">
          <cell r="B129" t="str">
            <v>OAS2_0060_MR2</v>
          </cell>
          <cell r="C129" t="str">
            <v>Demented</v>
          </cell>
          <cell r="D129" t="str">
            <v>2</v>
          </cell>
          <cell r="E129">
            <v>1290</v>
          </cell>
          <cell r="F129" t="str">
            <v>M</v>
          </cell>
          <cell r="G129" t="str">
            <v>R</v>
          </cell>
          <cell r="H129">
            <v>78</v>
          </cell>
          <cell r="I129">
            <v>13</v>
          </cell>
          <cell r="J129">
            <v>4</v>
          </cell>
          <cell r="K129">
            <v>28</v>
          </cell>
          <cell r="L129">
            <v>0.5</v>
          </cell>
          <cell r="M129">
            <v>1407.8496240119</v>
          </cell>
          <cell r="N129">
            <v>0.75698399999999999</v>
          </cell>
          <cell r="O129">
            <v>1.2465820000000001</v>
          </cell>
        </row>
        <row r="130">
          <cell r="B130" t="str">
            <v>OAS2_0061_MR1</v>
          </cell>
          <cell r="C130" t="str">
            <v>Nondemented</v>
          </cell>
          <cell r="D130" t="str">
            <v>1</v>
          </cell>
          <cell r="E130">
            <v>0</v>
          </cell>
          <cell r="F130" t="str">
            <v>M</v>
          </cell>
          <cell r="G130" t="str">
            <v>R</v>
          </cell>
          <cell r="H130">
            <v>68</v>
          </cell>
          <cell r="I130">
            <v>18</v>
          </cell>
          <cell r="J130">
            <v>1</v>
          </cell>
          <cell r="K130">
            <v>30</v>
          </cell>
          <cell r="L130">
            <v>0</v>
          </cell>
          <cell r="M130">
            <v>1654.33</v>
          </cell>
          <cell r="N130">
            <v>0.74736199999999997</v>
          </cell>
          <cell r="O130">
            <v>1.0608500000000001</v>
          </cell>
        </row>
        <row r="131">
          <cell r="B131" t="str">
            <v>OAS2_0061_MR2</v>
          </cell>
          <cell r="C131" t="str">
            <v>Nondemented</v>
          </cell>
          <cell r="D131" t="str">
            <v>2</v>
          </cell>
          <cell r="E131">
            <v>873</v>
          </cell>
          <cell r="F131" t="str">
            <v>M</v>
          </cell>
          <cell r="G131" t="str">
            <v>R</v>
          </cell>
          <cell r="H131">
            <v>70</v>
          </cell>
          <cell r="I131">
            <v>18</v>
          </cell>
          <cell r="J131">
            <v>1</v>
          </cell>
          <cell r="K131">
            <v>30</v>
          </cell>
          <cell r="L131">
            <v>0</v>
          </cell>
          <cell r="M131">
            <v>1660.09</v>
          </cell>
          <cell r="N131">
            <v>0.737981</v>
          </cell>
          <cell r="O131">
            <v>1.0571699999999999</v>
          </cell>
        </row>
        <row r="132">
          <cell r="B132" t="str">
            <v>OAS2_0061_MR3</v>
          </cell>
          <cell r="C132" t="str">
            <v>Nondemented</v>
          </cell>
          <cell r="D132" t="str">
            <v>3</v>
          </cell>
          <cell r="E132">
            <v>1651</v>
          </cell>
          <cell r="F132" t="str">
            <v>M</v>
          </cell>
          <cell r="G132" t="str">
            <v>R</v>
          </cell>
          <cell r="H132">
            <v>72</v>
          </cell>
          <cell r="I132">
            <v>18</v>
          </cell>
          <cell r="J132">
            <v>1</v>
          </cell>
          <cell r="K132">
            <v>30</v>
          </cell>
          <cell r="L132">
            <v>0</v>
          </cell>
          <cell r="M132">
            <v>1681.2808773699601</v>
          </cell>
          <cell r="N132">
            <v>0.72877899999999995</v>
          </cell>
          <cell r="O132">
            <v>1.043847</v>
          </cell>
        </row>
        <row r="133">
          <cell r="B133" t="str">
            <v>OAS2_0062_MR1</v>
          </cell>
          <cell r="C133" t="str">
            <v>Nondemented</v>
          </cell>
          <cell r="D133" t="str">
            <v>1</v>
          </cell>
          <cell r="E133">
            <v>0</v>
          </cell>
          <cell r="F133" t="str">
            <v>F</v>
          </cell>
          <cell r="G133" t="str">
            <v>R</v>
          </cell>
          <cell r="H133">
            <v>79</v>
          </cell>
          <cell r="I133">
            <v>18</v>
          </cell>
          <cell r="J133">
            <v>2</v>
          </cell>
          <cell r="K133">
            <v>29</v>
          </cell>
          <cell r="L133">
            <v>0</v>
          </cell>
          <cell r="M133">
            <v>1641.19</v>
          </cell>
          <cell r="N133">
            <v>0.69483499999999998</v>
          </cell>
          <cell r="O133">
            <v>1.06934</v>
          </cell>
        </row>
        <row r="134">
          <cell r="B134" t="str">
            <v>OAS2_0062_MR2</v>
          </cell>
          <cell r="C134" t="str">
            <v>Nondemented</v>
          </cell>
          <cell r="D134" t="str">
            <v>2</v>
          </cell>
          <cell r="E134">
            <v>723</v>
          </cell>
          <cell r="F134" t="str">
            <v>F</v>
          </cell>
          <cell r="G134" t="str">
            <v>R</v>
          </cell>
          <cell r="H134">
            <v>81</v>
          </cell>
          <cell r="I134">
            <v>18</v>
          </cell>
          <cell r="J134">
            <v>2</v>
          </cell>
          <cell r="K134">
            <v>30</v>
          </cell>
          <cell r="L134">
            <v>0</v>
          </cell>
          <cell r="M134">
            <v>1664.25</v>
          </cell>
          <cell r="N134">
            <v>0.67716399999999999</v>
          </cell>
          <cell r="O134">
            <v>1.05453</v>
          </cell>
        </row>
        <row r="135">
          <cell r="B135" t="str">
            <v>OAS2_0062_MR3</v>
          </cell>
          <cell r="C135" t="str">
            <v>Nondemented</v>
          </cell>
          <cell r="D135" t="str">
            <v>3</v>
          </cell>
          <cell r="E135">
            <v>1351</v>
          </cell>
          <cell r="F135" t="str">
            <v>F</v>
          </cell>
          <cell r="G135" t="str">
            <v>R</v>
          </cell>
          <cell r="H135">
            <v>83</v>
          </cell>
          <cell r="I135">
            <v>18</v>
          </cell>
          <cell r="J135">
            <v>2</v>
          </cell>
          <cell r="K135">
            <v>29</v>
          </cell>
          <cell r="L135">
            <v>0</v>
          </cell>
          <cell r="M135">
            <v>1667.4029842238001</v>
          </cell>
          <cell r="N135">
            <v>0.68812099999999998</v>
          </cell>
          <cell r="O135">
            <v>1.052535</v>
          </cell>
        </row>
        <row r="136">
          <cell r="B136" t="str">
            <v>OAS2_0063_MR1</v>
          </cell>
          <cell r="C136" t="str">
            <v>Demented</v>
          </cell>
          <cell r="D136" t="str">
            <v>1</v>
          </cell>
          <cell r="E136">
            <v>0</v>
          </cell>
          <cell r="F136" t="str">
            <v>F</v>
          </cell>
          <cell r="G136" t="str">
            <v>R</v>
          </cell>
          <cell r="H136">
            <v>80</v>
          </cell>
          <cell r="I136">
            <v>12</v>
          </cell>
          <cell r="K136">
            <v>30</v>
          </cell>
          <cell r="L136">
            <v>0.5</v>
          </cell>
          <cell r="M136">
            <v>1429.53</v>
          </cell>
          <cell r="N136">
            <v>0.73698799999999998</v>
          </cell>
          <cell r="O136">
            <v>1.22767</v>
          </cell>
        </row>
        <row r="137">
          <cell r="B137" t="str">
            <v>OAS2_0063_MR2</v>
          </cell>
          <cell r="C137" t="str">
            <v>Demented</v>
          </cell>
          <cell r="D137" t="str">
            <v>2</v>
          </cell>
          <cell r="E137">
            <v>490</v>
          </cell>
          <cell r="F137" t="str">
            <v>F</v>
          </cell>
          <cell r="G137" t="str">
            <v>R</v>
          </cell>
          <cell r="H137">
            <v>81</v>
          </cell>
          <cell r="I137">
            <v>12</v>
          </cell>
          <cell r="K137">
            <v>27</v>
          </cell>
          <cell r="L137">
            <v>0.5</v>
          </cell>
          <cell r="M137">
            <v>1453.05</v>
          </cell>
          <cell r="N137">
            <v>0.72104299999999999</v>
          </cell>
          <cell r="O137">
            <v>1.2078100000000001</v>
          </cell>
        </row>
        <row r="138">
          <cell r="B138" t="str">
            <v>OAS2_0064_MR1</v>
          </cell>
          <cell r="C138" t="str">
            <v>Demented</v>
          </cell>
          <cell r="D138" t="str">
            <v>1</v>
          </cell>
          <cell r="E138">
            <v>0</v>
          </cell>
          <cell r="F138" t="str">
            <v>F</v>
          </cell>
          <cell r="G138" t="str">
            <v>R</v>
          </cell>
          <cell r="H138">
            <v>78</v>
          </cell>
          <cell r="I138">
            <v>8</v>
          </cell>
          <cell r="J138">
            <v>5</v>
          </cell>
          <cell r="K138">
            <v>23</v>
          </cell>
          <cell r="L138">
            <v>1</v>
          </cell>
          <cell r="M138">
            <v>1462.4</v>
          </cell>
          <cell r="N138">
            <v>0.69076099999999996</v>
          </cell>
          <cell r="O138">
            <v>1.2000900000000001</v>
          </cell>
        </row>
        <row r="139">
          <cell r="B139" t="str">
            <v>OAS2_0064_MR2</v>
          </cell>
          <cell r="C139" t="str">
            <v>Demented</v>
          </cell>
          <cell r="D139" t="str">
            <v>2</v>
          </cell>
          <cell r="E139">
            <v>830</v>
          </cell>
          <cell r="F139" t="str">
            <v>F</v>
          </cell>
          <cell r="G139" t="str">
            <v>R</v>
          </cell>
          <cell r="H139">
            <v>81</v>
          </cell>
          <cell r="I139">
            <v>8</v>
          </cell>
          <cell r="J139">
            <v>5</v>
          </cell>
          <cell r="K139">
            <v>26</v>
          </cell>
          <cell r="L139">
            <v>0.5</v>
          </cell>
          <cell r="M139">
            <v>1459.2410283699701</v>
          </cell>
          <cell r="N139">
            <v>0.69375299999999995</v>
          </cell>
          <cell r="O139">
            <v>1.20268</v>
          </cell>
        </row>
        <row r="140">
          <cell r="B140" t="str">
            <v>OAS2_0064_MR3</v>
          </cell>
          <cell r="C140" t="str">
            <v>Demented</v>
          </cell>
          <cell r="D140" t="str">
            <v>3</v>
          </cell>
          <cell r="E140">
            <v>1282</v>
          </cell>
          <cell r="F140" t="str">
            <v>F</v>
          </cell>
          <cell r="G140" t="str">
            <v>R</v>
          </cell>
          <cell r="H140">
            <v>82</v>
          </cell>
          <cell r="I140">
            <v>8</v>
          </cell>
          <cell r="J140">
            <v>5</v>
          </cell>
          <cell r="K140">
            <v>18</v>
          </cell>
          <cell r="L140">
            <v>0.5</v>
          </cell>
          <cell r="M140">
            <v>1464.15083006089</v>
          </cell>
          <cell r="N140">
            <v>0.68236799999999997</v>
          </cell>
          <cell r="O140">
            <v>1.198647</v>
          </cell>
        </row>
        <row r="141">
          <cell r="B141" t="str">
            <v>OAS2_0066_MR1</v>
          </cell>
          <cell r="C141" t="str">
            <v>Demented</v>
          </cell>
          <cell r="D141" t="str">
            <v>1</v>
          </cell>
          <cell r="E141">
            <v>0</v>
          </cell>
          <cell r="F141" t="str">
            <v>M</v>
          </cell>
          <cell r="G141" t="str">
            <v>R</v>
          </cell>
          <cell r="H141">
            <v>61</v>
          </cell>
          <cell r="I141">
            <v>18</v>
          </cell>
          <cell r="J141">
            <v>1</v>
          </cell>
          <cell r="K141">
            <v>30</v>
          </cell>
          <cell r="L141">
            <v>1</v>
          </cell>
          <cell r="M141">
            <v>1956.9602553080499</v>
          </cell>
          <cell r="N141">
            <v>0.73400799999999999</v>
          </cell>
          <cell r="O141">
            <v>0.89679900000000001</v>
          </cell>
        </row>
        <row r="142">
          <cell r="B142" t="str">
            <v>OAS2_0066_MR2</v>
          </cell>
          <cell r="C142" t="str">
            <v>Demented</v>
          </cell>
          <cell r="D142" t="str">
            <v>2</v>
          </cell>
          <cell r="E142">
            <v>497</v>
          </cell>
          <cell r="F142" t="str">
            <v>M</v>
          </cell>
          <cell r="G142" t="str">
            <v>R</v>
          </cell>
          <cell r="H142">
            <v>62</v>
          </cell>
          <cell r="I142">
            <v>18</v>
          </cell>
          <cell r="J142">
            <v>1</v>
          </cell>
          <cell r="K142">
            <v>30</v>
          </cell>
          <cell r="L142">
            <v>0.5</v>
          </cell>
          <cell r="M142">
            <v>1927.70502049079</v>
          </cell>
          <cell r="N142">
            <v>0.73074300000000003</v>
          </cell>
          <cell r="O142">
            <v>0.91040900000000002</v>
          </cell>
        </row>
        <row r="143">
          <cell r="B143" t="str">
            <v>OAS2_0067_MR1</v>
          </cell>
          <cell r="C143" t="str">
            <v>Nondemented</v>
          </cell>
          <cell r="D143" t="str">
            <v>1</v>
          </cell>
          <cell r="E143">
            <v>0</v>
          </cell>
          <cell r="F143" t="str">
            <v>M</v>
          </cell>
          <cell r="G143" t="str">
            <v>R</v>
          </cell>
          <cell r="H143">
            <v>67</v>
          </cell>
          <cell r="I143">
            <v>12</v>
          </cell>
          <cell r="J143">
            <v>4</v>
          </cell>
          <cell r="K143">
            <v>30</v>
          </cell>
          <cell r="L143">
            <v>0</v>
          </cell>
          <cell r="M143">
            <v>1440.21</v>
          </cell>
          <cell r="N143">
            <v>0.72666299999999995</v>
          </cell>
          <cell r="O143">
            <v>1.2185699999999999</v>
          </cell>
        </row>
        <row r="144">
          <cell r="B144" t="str">
            <v>OAS2_0067_MR2</v>
          </cell>
          <cell r="C144" t="str">
            <v>Nondemented</v>
          </cell>
          <cell r="D144" t="str">
            <v>2</v>
          </cell>
          <cell r="E144">
            <v>451</v>
          </cell>
          <cell r="F144" t="str">
            <v>M</v>
          </cell>
          <cell r="G144" t="str">
            <v>R</v>
          </cell>
          <cell r="H144">
            <v>68</v>
          </cell>
          <cell r="I144">
            <v>12</v>
          </cell>
          <cell r="J144">
            <v>4</v>
          </cell>
          <cell r="K144">
            <v>29</v>
          </cell>
          <cell r="L144">
            <v>0</v>
          </cell>
          <cell r="M144">
            <v>1438.45</v>
          </cell>
          <cell r="N144">
            <v>0.73780800000000002</v>
          </cell>
          <cell r="O144">
            <v>1.22007</v>
          </cell>
        </row>
        <row r="145">
          <cell r="B145" t="str">
            <v>OAS2_0067_MR3</v>
          </cell>
          <cell r="C145" t="str">
            <v>Nondemented</v>
          </cell>
          <cell r="D145" t="str">
            <v>3</v>
          </cell>
          <cell r="E145">
            <v>1438</v>
          </cell>
          <cell r="F145" t="str">
            <v>M</v>
          </cell>
          <cell r="G145" t="str">
            <v>R</v>
          </cell>
          <cell r="H145">
            <v>71</v>
          </cell>
          <cell r="I145">
            <v>12</v>
          </cell>
          <cell r="J145">
            <v>4</v>
          </cell>
          <cell r="K145">
            <v>29</v>
          </cell>
          <cell r="L145">
            <v>0</v>
          </cell>
          <cell r="M145">
            <v>1454.86</v>
          </cell>
          <cell r="N145">
            <v>0.72407500000000002</v>
          </cell>
          <cell r="O145">
            <v>1.2062999999999999</v>
          </cell>
        </row>
        <row r="146">
          <cell r="B146" t="str">
            <v>OAS2_0067_MR4</v>
          </cell>
          <cell r="C146" t="str">
            <v>Nondemented</v>
          </cell>
          <cell r="D146" t="str">
            <v>4</v>
          </cell>
          <cell r="E146">
            <v>2163</v>
          </cell>
          <cell r="F146" t="str">
            <v>M</v>
          </cell>
          <cell r="G146" t="str">
            <v>R</v>
          </cell>
          <cell r="H146">
            <v>73</v>
          </cell>
          <cell r="I146">
            <v>12</v>
          </cell>
          <cell r="J146">
            <v>4</v>
          </cell>
          <cell r="K146">
            <v>28</v>
          </cell>
          <cell r="L146">
            <v>0</v>
          </cell>
          <cell r="M146">
            <v>1444.0082707527799</v>
          </cell>
          <cell r="N146">
            <v>0.72228000000000003</v>
          </cell>
          <cell r="O146">
            <v>1.2153670000000001</v>
          </cell>
        </row>
        <row r="147">
          <cell r="B147" t="str">
            <v>OAS2_0068_MR1</v>
          </cell>
          <cell r="C147" t="str">
            <v>Nondemented</v>
          </cell>
          <cell r="D147" t="str">
            <v>1</v>
          </cell>
          <cell r="E147">
            <v>0</v>
          </cell>
          <cell r="F147" t="str">
            <v>F</v>
          </cell>
          <cell r="G147" t="str">
            <v>R</v>
          </cell>
          <cell r="H147">
            <v>88</v>
          </cell>
          <cell r="I147">
            <v>12</v>
          </cell>
          <cell r="J147">
            <v>3</v>
          </cell>
          <cell r="K147">
            <v>30</v>
          </cell>
          <cell r="L147">
            <v>0</v>
          </cell>
          <cell r="M147">
            <v>1427.53</v>
          </cell>
          <cell r="N147">
            <v>0.70045199999999996</v>
          </cell>
          <cell r="O147">
            <v>1.2294</v>
          </cell>
        </row>
        <row r="148">
          <cell r="B148" t="str">
            <v>OAS2_0068_MR2</v>
          </cell>
          <cell r="C148" t="str">
            <v>Nondemented</v>
          </cell>
          <cell r="D148" t="str">
            <v>2</v>
          </cell>
          <cell r="E148">
            <v>743</v>
          </cell>
          <cell r="F148" t="str">
            <v>F</v>
          </cell>
          <cell r="G148" t="str">
            <v>R</v>
          </cell>
          <cell r="H148">
            <v>90</v>
          </cell>
          <cell r="I148">
            <v>12</v>
          </cell>
          <cell r="J148">
            <v>3</v>
          </cell>
          <cell r="K148">
            <v>29</v>
          </cell>
          <cell r="L148">
            <v>0</v>
          </cell>
          <cell r="M148">
            <v>1474.66</v>
          </cell>
          <cell r="N148">
            <v>0.67555100000000001</v>
          </cell>
          <cell r="O148">
            <v>1.1900999999999999</v>
          </cell>
        </row>
        <row r="149">
          <cell r="B149" t="str">
            <v>OAS2_0069_MR1</v>
          </cell>
          <cell r="C149" t="str">
            <v>Nondemented</v>
          </cell>
          <cell r="D149" t="str">
            <v>1</v>
          </cell>
          <cell r="E149">
            <v>0</v>
          </cell>
          <cell r="F149" t="str">
            <v>F</v>
          </cell>
          <cell r="G149" t="str">
            <v>R</v>
          </cell>
          <cell r="H149">
            <v>81</v>
          </cell>
          <cell r="I149">
            <v>18</v>
          </cell>
          <cell r="J149">
            <v>2</v>
          </cell>
          <cell r="K149">
            <v>29</v>
          </cell>
          <cell r="L149">
            <v>0</v>
          </cell>
          <cell r="M149">
            <v>1470.0413119302</v>
          </cell>
          <cell r="N149">
            <v>0.68666000000000005</v>
          </cell>
          <cell r="O149">
            <v>1.1938439999999999</v>
          </cell>
        </row>
        <row r="150">
          <cell r="B150" t="str">
            <v>OAS2_0069_MR2</v>
          </cell>
          <cell r="C150" t="str">
            <v>Nondemented</v>
          </cell>
          <cell r="D150" t="str">
            <v>2</v>
          </cell>
          <cell r="E150">
            <v>432</v>
          </cell>
          <cell r="F150" t="str">
            <v>F</v>
          </cell>
          <cell r="G150" t="str">
            <v>R</v>
          </cell>
          <cell r="H150">
            <v>82</v>
          </cell>
          <cell r="I150">
            <v>18</v>
          </cell>
          <cell r="J150">
            <v>2</v>
          </cell>
          <cell r="K150">
            <v>30</v>
          </cell>
          <cell r="L150">
            <v>0</v>
          </cell>
          <cell r="M150">
            <v>1470.87294423506</v>
          </cell>
          <cell r="N150">
            <v>0.69006599999999996</v>
          </cell>
          <cell r="O150">
            <v>1.1931689999999999</v>
          </cell>
        </row>
        <row r="151">
          <cell r="B151" t="str">
            <v>OAS2_0070_MR1</v>
          </cell>
          <cell r="C151" t="str">
            <v>Nondemented</v>
          </cell>
          <cell r="D151" t="str">
            <v>1</v>
          </cell>
          <cell r="E151">
            <v>0</v>
          </cell>
          <cell r="F151" t="str">
            <v>M</v>
          </cell>
          <cell r="G151" t="str">
            <v>R</v>
          </cell>
          <cell r="H151">
            <v>80</v>
          </cell>
          <cell r="I151">
            <v>17</v>
          </cell>
          <cell r="J151">
            <v>1</v>
          </cell>
          <cell r="K151">
            <v>28</v>
          </cell>
          <cell r="L151">
            <v>0</v>
          </cell>
          <cell r="M151">
            <v>1660.02</v>
          </cell>
          <cell r="N151">
            <v>0.72817900000000002</v>
          </cell>
          <cell r="O151">
            <v>1.05722</v>
          </cell>
        </row>
        <row r="152">
          <cell r="B152" t="str">
            <v>OAS2_0070_MR2</v>
          </cell>
          <cell r="C152" t="str">
            <v>Nondemented</v>
          </cell>
          <cell r="D152" t="str">
            <v>2</v>
          </cell>
          <cell r="E152">
            <v>672</v>
          </cell>
          <cell r="F152" t="str">
            <v>M</v>
          </cell>
          <cell r="G152" t="str">
            <v>R</v>
          </cell>
          <cell r="H152">
            <v>82</v>
          </cell>
          <cell r="I152">
            <v>17</v>
          </cell>
          <cell r="J152">
            <v>1</v>
          </cell>
          <cell r="K152">
            <v>29</v>
          </cell>
          <cell r="L152">
            <v>0</v>
          </cell>
          <cell r="M152">
            <v>1691.64</v>
          </cell>
          <cell r="N152">
            <v>0.72291899999999998</v>
          </cell>
          <cell r="O152">
            <v>1.03746</v>
          </cell>
        </row>
        <row r="153">
          <cell r="B153" t="str">
            <v>OAS2_0070_MR3</v>
          </cell>
          <cell r="C153" t="str">
            <v>Nondemented</v>
          </cell>
          <cell r="D153" t="str">
            <v>3</v>
          </cell>
          <cell r="E153">
            <v>1415</v>
          </cell>
          <cell r="F153" t="str">
            <v>M</v>
          </cell>
          <cell r="G153" t="str">
            <v>R</v>
          </cell>
          <cell r="H153">
            <v>84</v>
          </cell>
          <cell r="I153">
            <v>17</v>
          </cell>
          <cell r="J153">
            <v>1</v>
          </cell>
          <cell r="K153">
            <v>29</v>
          </cell>
          <cell r="L153">
            <v>0</v>
          </cell>
          <cell r="M153">
            <v>1707.16</v>
          </cell>
          <cell r="N153">
            <v>0.71667899999999995</v>
          </cell>
          <cell r="O153">
            <v>1.0280199999999999</v>
          </cell>
        </row>
        <row r="154">
          <cell r="B154" t="str">
            <v>OAS2_0070_MR4</v>
          </cell>
          <cell r="C154" t="str">
            <v>Nondemented</v>
          </cell>
          <cell r="D154" t="str">
            <v>4</v>
          </cell>
          <cell r="E154">
            <v>1870</v>
          </cell>
          <cell r="F154" t="str">
            <v>M</v>
          </cell>
          <cell r="G154" t="str">
            <v>R</v>
          </cell>
          <cell r="H154">
            <v>85</v>
          </cell>
          <cell r="I154">
            <v>17</v>
          </cell>
          <cell r="J154">
            <v>1</v>
          </cell>
          <cell r="K154">
            <v>30</v>
          </cell>
          <cell r="L154">
            <v>0</v>
          </cell>
          <cell r="M154">
            <v>1724.32</v>
          </cell>
          <cell r="N154">
            <v>0.70352199999999998</v>
          </cell>
          <cell r="O154">
            <v>1.01779</v>
          </cell>
        </row>
        <row r="155">
          <cell r="B155" t="str">
            <v>OAS2_0070_MR5</v>
          </cell>
          <cell r="C155" t="str">
            <v>Nondemented</v>
          </cell>
          <cell r="D155" t="str">
            <v>5</v>
          </cell>
          <cell r="E155">
            <v>2386</v>
          </cell>
          <cell r="F155" t="str">
            <v>M</v>
          </cell>
          <cell r="G155" t="str">
            <v>R</v>
          </cell>
          <cell r="H155">
            <v>86</v>
          </cell>
          <cell r="I155">
            <v>17</v>
          </cell>
          <cell r="J155">
            <v>1</v>
          </cell>
          <cell r="K155">
            <v>30</v>
          </cell>
          <cell r="L155">
            <v>0</v>
          </cell>
          <cell r="M155">
            <v>1720.4954634799101</v>
          </cell>
          <cell r="N155">
            <v>0.70494199999999996</v>
          </cell>
          <cell r="O155">
            <v>1.0200549999999999</v>
          </cell>
        </row>
        <row r="156">
          <cell r="B156" t="str">
            <v>OAS2_0071_MR1</v>
          </cell>
          <cell r="C156" t="str">
            <v>Demented</v>
          </cell>
          <cell r="D156" t="str">
            <v>1</v>
          </cell>
          <cell r="E156">
            <v>0</v>
          </cell>
          <cell r="F156" t="str">
            <v>F</v>
          </cell>
          <cell r="G156" t="str">
            <v>R</v>
          </cell>
          <cell r="H156">
            <v>83</v>
          </cell>
          <cell r="I156">
            <v>13</v>
          </cell>
          <cell r="J156">
            <v>2</v>
          </cell>
          <cell r="K156">
            <v>27</v>
          </cell>
          <cell r="L156">
            <v>1</v>
          </cell>
          <cell r="M156">
            <v>1390.81</v>
          </cell>
          <cell r="N156">
            <v>0.704681</v>
          </cell>
          <cell r="O156">
            <v>1.2618499999999999</v>
          </cell>
        </row>
        <row r="157">
          <cell r="B157" t="str">
            <v>OAS2_0071_MR2</v>
          </cell>
          <cell r="C157" t="str">
            <v>Demented</v>
          </cell>
          <cell r="D157" t="str">
            <v>2</v>
          </cell>
          <cell r="E157">
            <v>365</v>
          </cell>
          <cell r="F157" t="str">
            <v>F</v>
          </cell>
          <cell r="G157" t="str">
            <v>R</v>
          </cell>
          <cell r="H157">
            <v>84</v>
          </cell>
          <cell r="I157">
            <v>13</v>
          </cell>
          <cell r="J157">
            <v>2</v>
          </cell>
          <cell r="K157">
            <v>28</v>
          </cell>
          <cell r="L157">
            <v>1</v>
          </cell>
          <cell r="M157">
            <v>1402.1</v>
          </cell>
          <cell r="N157">
            <v>0.69467900000000005</v>
          </cell>
          <cell r="O157">
            <v>1.25169</v>
          </cell>
        </row>
        <row r="158">
          <cell r="B158" t="str">
            <v>OAS2_0073_MR1</v>
          </cell>
          <cell r="C158" t="str">
            <v>Nondemented</v>
          </cell>
          <cell r="D158" t="str">
            <v>1</v>
          </cell>
          <cell r="E158">
            <v>0</v>
          </cell>
          <cell r="F158" t="str">
            <v>F</v>
          </cell>
          <cell r="G158" t="str">
            <v>R</v>
          </cell>
          <cell r="H158">
            <v>70</v>
          </cell>
          <cell r="I158">
            <v>14</v>
          </cell>
          <cell r="J158">
            <v>3</v>
          </cell>
          <cell r="K158">
            <v>29</v>
          </cell>
          <cell r="L158">
            <v>0</v>
          </cell>
          <cell r="M158">
            <v>1524.49</v>
          </cell>
          <cell r="N158">
            <v>0.78734199999999999</v>
          </cell>
          <cell r="O158">
            <v>1.1512</v>
          </cell>
        </row>
        <row r="159">
          <cell r="B159" t="str">
            <v>OAS2_0073_MR2</v>
          </cell>
          <cell r="C159" t="str">
            <v>Nondemented</v>
          </cell>
          <cell r="D159" t="str">
            <v>2</v>
          </cell>
          <cell r="E159">
            <v>580</v>
          </cell>
          <cell r="F159" t="str">
            <v>F</v>
          </cell>
          <cell r="G159" t="str">
            <v>R</v>
          </cell>
          <cell r="H159">
            <v>72</v>
          </cell>
          <cell r="I159">
            <v>14</v>
          </cell>
          <cell r="J159">
            <v>3</v>
          </cell>
          <cell r="K159">
            <v>28</v>
          </cell>
          <cell r="L159">
            <v>0</v>
          </cell>
          <cell r="M159">
            <v>1512.08</v>
          </cell>
          <cell r="N159">
            <v>0.77668899999999996</v>
          </cell>
          <cell r="O159">
            <v>1.16066</v>
          </cell>
        </row>
        <row r="160">
          <cell r="B160" t="str">
            <v>OAS2_0073_MR3</v>
          </cell>
          <cell r="C160" t="str">
            <v>Nondemented</v>
          </cell>
          <cell r="D160" t="str">
            <v>3</v>
          </cell>
          <cell r="E160">
            <v>1705</v>
          </cell>
          <cell r="F160" t="str">
            <v>F</v>
          </cell>
          <cell r="G160" t="str">
            <v>R</v>
          </cell>
          <cell r="H160">
            <v>75</v>
          </cell>
          <cell r="I160">
            <v>14</v>
          </cell>
          <cell r="J160">
            <v>3</v>
          </cell>
          <cell r="K160">
            <v>28</v>
          </cell>
          <cell r="L160">
            <v>0</v>
          </cell>
          <cell r="M160">
            <v>1507.23</v>
          </cell>
          <cell r="N160">
            <v>0.78176800000000002</v>
          </cell>
          <cell r="O160">
            <v>1.16439</v>
          </cell>
        </row>
        <row r="161">
          <cell r="B161" t="str">
            <v>OAS2_0073_MR4</v>
          </cell>
          <cell r="C161" t="str">
            <v>Nondemented</v>
          </cell>
          <cell r="D161" t="str">
            <v>4</v>
          </cell>
          <cell r="E161">
            <v>2288</v>
          </cell>
          <cell r="F161" t="str">
            <v>F</v>
          </cell>
          <cell r="G161" t="str">
            <v>R</v>
          </cell>
          <cell r="H161">
            <v>76</v>
          </cell>
          <cell r="I161">
            <v>14</v>
          </cell>
          <cell r="J161">
            <v>3</v>
          </cell>
          <cell r="K161">
            <v>29</v>
          </cell>
          <cell r="L161">
            <v>0</v>
          </cell>
          <cell r="M161">
            <v>1490.0029715159001</v>
          </cell>
          <cell r="N161">
            <v>0.77437199999999995</v>
          </cell>
          <cell r="O161">
            <v>1.1778500000000001</v>
          </cell>
        </row>
        <row r="162">
          <cell r="B162" t="str">
            <v>OAS2_0073_MR5</v>
          </cell>
          <cell r="C162" t="str">
            <v>Nondemented</v>
          </cell>
          <cell r="D162" t="str">
            <v>5</v>
          </cell>
          <cell r="E162">
            <v>2517</v>
          </cell>
          <cell r="F162" t="str">
            <v>F</v>
          </cell>
          <cell r="G162" t="str">
            <v>R</v>
          </cell>
          <cell r="H162">
            <v>77</v>
          </cell>
          <cell r="I162">
            <v>14</v>
          </cell>
          <cell r="J162">
            <v>3</v>
          </cell>
          <cell r="K162">
            <v>29</v>
          </cell>
          <cell r="L162">
            <v>0</v>
          </cell>
          <cell r="M162">
            <v>1504.39231122662</v>
          </cell>
          <cell r="N162">
            <v>0.76916499999999999</v>
          </cell>
          <cell r="O162">
            <v>1.1665840000000001</v>
          </cell>
        </row>
        <row r="163">
          <cell r="B163" t="str">
            <v>OAS2_0075_MR1</v>
          </cell>
          <cell r="C163" t="str">
            <v>Demented</v>
          </cell>
          <cell r="D163" t="str">
            <v>1</v>
          </cell>
          <cell r="E163">
            <v>0</v>
          </cell>
          <cell r="F163" t="str">
            <v>F</v>
          </cell>
          <cell r="G163" t="str">
            <v>R</v>
          </cell>
          <cell r="H163">
            <v>73</v>
          </cell>
          <cell r="I163">
            <v>8</v>
          </cell>
          <cell r="J163">
            <v>5</v>
          </cell>
          <cell r="K163">
            <v>25</v>
          </cell>
          <cell r="L163">
            <v>0.5</v>
          </cell>
          <cell r="M163">
            <v>1151.0999999999999</v>
          </cell>
          <cell r="N163">
            <v>0.74270199999999997</v>
          </cell>
          <cell r="O163">
            <v>1.5246299999999999</v>
          </cell>
        </row>
        <row r="164">
          <cell r="B164" t="str">
            <v>OAS2_0075_MR2</v>
          </cell>
          <cell r="C164" t="str">
            <v>Demented</v>
          </cell>
          <cell r="D164" t="str">
            <v>2</v>
          </cell>
          <cell r="E164">
            <v>567</v>
          </cell>
          <cell r="F164" t="str">
            <v>F</v>
          </cell>
          <cell r="G164" t="str">
            <v>R</v>
          </cell>
          <cell r="H164">
            <v>75</v>
          </cell>
          <cell r="I164">
            <v>8</v>
          </cell>
          <cell r="J164">
            <v>5</v>
          </cell>
          <cell r="K164">
            <v>22</v>
          </cell>
          <cell r="L164">
            <v>0.5</v>
          </cell>
          <cell r="M164">
            <v>1143.1099999999999</v>
          </cell>
          <cell r="N164">
            <v>0.74118700000000004</v>
          </cell>
          <cell r="O164">
            <v>1.53529</v>
          </cell>
        </row>
        <row r="165">
          <cell r="B165" t="str">
            <v>OAS2_0076_MR1</v>
          </cell>
          <cell r="C165" t="str">
            <v>Nondemented</v>
          </cell>
          <cell r="D165" t="str">
            <v>1</v>
          </cell>
          <cell r="E165">
            <v>0</v>
          </cell>
          <cell r="F165" t="str">
            <v>F</v>
          </cell>
          <cell r="G165" t="str">
            <v>R</v>
          </cell>
          <cell r="H165">
            <v>66</v>
          </cell>
          <cell r="I165">
            <v>18</v>
          </cell>
          <cell r="J165">
            <v>2</v>
          </cell>
          <cell r="K165">
            <v>30</v>
          </cell>
          <cell r="L165">
            <v>0</v>
          </cell>
          <cell r="M165">
            <v>1504.48</v>
          </cell>
          <cell r="N165">
            <v>0.72475599999999996</v>
          </cell>
          <cell r="O165">
            <v>1.16652</v>
          </cell>
        </row>
        <row r="166">
          <cell r="B166" t="str">
            <v>OAS2_0076_MR2</v>
          </cell>
          <cell r="C166" t="str">
            <v>Nondemented</v>
          </cell>
          <cell r="D166" t="str">
            <v>2</v>
          </cell>
          <cell r="E166">
            <v>956</v>
          </cell>
          <cell r="F166" t="str">
            <v>F</v>
          </cell>
          <cell r="G166" t="str">
            <v>R</v>
          </cell>
          <cell r="H166">
            <v>69</v>
          </cell>
          <cell r="I166">
            <v>18</v>
          </cell>
          <cell r="J166">
            <v>2</v>
          </cell>
          <cell r="K166">
            <v>29</v>
          </cell>
          <cell r="L166">
            <v>0</v>
          </cell>
          <cell r="M166">
            <v>1536.01</v>
          </cell>
          <cell r="N166">
            <v>0.71852899999999997</v>
          </cell>
          <cell r="O166">
            <v>1.1425700000000001</v>
          </cell>
        </row>
        <row r="167">
          <cell r="B167" t="str">
            <v>OAS2_0076_MR3</v>
          </cell>
          <cell r="C167" t="str">
            <v>Nondemented</v>
          </cell>
          <cell r="D167" t="str">
            <v>3</v>
          </cell>
          <cell r="E167">
            <v>1663</v>
          </cell>
          <cell r="F167" t="str">
            <v>F</v>
          </cell>
          <cell r="G167" t="str">
            <v>R</v>
          </cell>
          <cell r="H167">
            <v>71</v>
          </cell>
          <cell r="I167">
            <v>18</v>
          </cell>
          <cell r="J167">
            <v>2</v>
          </cell>
          <cell r="K167">
            <v>30</v>
          </cell>
          <cell r="L167">
            <v>0</v>
          </cell>
          <cell r="M167">
            <v>1519.8542325558799</v>
          </cell>
          <cell r="N167">
            <v>0.71839200000000003</v>
          </cell>
          <cell r="O167">
            <v>1.1547160000000001</v>
          </cell>
        </row>
        <row r="168">
          <cell r="B168" t="str">
            <v>OAS2_0077_MR1</v>
          </cell>
          <cell r="C168" t="str">
            <v>Nondemented</v>
          </cell>
          <cell r="D168" t="str">
            <v>1</v>
          </cell>
          <cell r="E168">
            <v>0</v>
          </cell>
          <cell r="F168" t="str">
            <v>M</v>
          </cell>
          <cell r="G168" t="str">
            <v>R</v>
          </cell>
          <cell r="H168">
            <v>69</v>
          </cell>
          <cell r="I168">
            <v>16</v>
          </cell>
          <cell r="J168">
            <v>2</v>
          </cell>
          <cell r="K168">
            <v>28</v>
          </cell>
          <cell r="L168">
            <v>0</v>
          </cell>
          <cell r="M168">
            <v>1847.87220937077</v>
          </cell>
          <cell r="N168">
            <v>0.73661799999999999</v>
          </cell>
          <cell r="O168">
            <v>0.94974099999999995</v>
          </cell>
        </row>
        <row r="169">
          <cell r="B169" t="str">
            <v>OAS2_0077_MR2</v>
          </cell>
          <cell r="C169" t="str">
            <v>Nondemented</v>
          </cell>
          <cell r="D169" t="str">
            <v>2</v>
          </cell>
          <cell r="E169">
            <v>1393</v>
          </cell>
          <cell r="F169" t="str">
            <v>M</v>
          </cell>
          <cell r="G169" t="str">
            <v>R</v>
          </cell>
          <cell r="H169">
            <v>73</v>
          </cell>
          <cell r="I169">
            <v>16</v>
          </cell>
          <cell r="J169">
            <v>2</v>
          </cell>
          <cell r="K169">
            <v>29</v>
          </cell>
          <cell r="L169">
            <v>0</v>
          </cell>
          <cell r="M169">
            <v>1930.58050520707</v>
          </cell>
          <cell r="N169">
            <v>0.72160000000000002</v>
          </cell>
          <cell r="O169">
            <v>0.909053</v>
          </cell>
        </row>
        <row r="170">
          <cell r="B170" t="str">
            <v>OAS2_0078_MR1</v>
          </cell>
          <cell r="C170" t="str">
            <v>Nondemented</v>
          </cell>
          <cell r="D170" t="str">
            <v>1</v>
          </cell>
          <cell r="E170">
            <v>0</v>
          </cell>
          <cell r="F170" t="str">
            <v>M</v>
          </cell>
          <cell r="G170" t="str">
            <v>R</v>
          </cell>
          <cell r="H170">
            <v>89</v>
          </cell>
          <cell r="I170">
            <v>16</v>
          </cell>
          <cell r="J170">
            <v>1</v>
          </cell>
          <cell r="K170">
            <v>28</v>
          </cell>
          <cell r="L170">
            <v>0</v>
          </cell>
          <cell r="M170">
            <v>1630.5</v>
          </cell>
          <cell r="N170">
            <v>0.67446899999999999</v>
          </cell>
          <cell r="O170">
            <v>1.07636</v>
          </cell>
        </row>
        <row r="171">
          <cell r="B171" t="str">
            <v>OAS2_0078_MR2</v>
          </cell>
          <cell r="C171" t="str">
            <v>Nondemented</v>
          </cell>
          <cell r="D171" t="str">
            <v>2</v>
          </cell>
          <cell r="E171">
            <v>441</v>
          </cell>
          <cell r="F171" t="str">
            <v>M</v>
          </cell>
          <cell r="G171" t="str">
            <v>R</v>
          </cell>
          <cell r="H171">
            <v>91</v>
          </cell>
          <cell r="I171">
            <v>16</v>
          </cell>
          <cell r="J171">
            <v>1</v>
          </cell>
          <cell r="K171">
            <v>28</v>
          </cell>
          <cell r="L171">
            <v>0</v>
          </cell>
          <cell r="M171">
            <v>1639.72</v>
          </cell>
          <cell r="N171">
            <v>0.66964699999999999</v>
          </cell>
          <cell r="O171">
            <v>1.0703</v>
          </cell>
        </row>
        <row r="172">
          <cell r="B172" t="str">
            <v>OAS2_0078_MR3</v>
          </cell>
          <cell r="C172" t="str">
            <v>Nondemented</v>
          </cell>
          <cell r="D172" t="str">
            <v>3</v>
          </cell>
          <cell r="E172">
            <v>1019</v>
          </cell>
          <cell r="F172" t="str">
            <v>M</v>
          </cell>
          <cell r="G172" t="str">
            <v>R</v>
          </cell>
          <cell r="H172">
            <v>92</v>
          </cell>
          <cell r="I172">
            <v>16</v>
          </cell>
          <cell r="J172">
            <v>1</v>
          </cell>
          <cell r="K172">
            <v>30</v>
          </cell>
          <cell r="L172">
            <v>0</v>
          </cell>
          <cell r="M172">
            <v>1661.8861792621201</v>
          </cell>
          <cell r="N172">
            <v>0.68172100000000002</v>
          </cell>
          <cell r="O172">
            <v>1.0560290000000001</v>
          </cell>
        </row>
        <row r="173">
          <cell r="B173" t="str">
            <v>OAS2_0079_MR1</v>
          </cell>
          <cell r="C173" t="str">
            <v>Demented</v>
          </cell>
          <cell r="D173" t="str">
            <v>1</v>
          </cell>
          <cell r="E173">
            <v>0</v>
          </cell>
          <cell r="F173" t="str">
            <v>F</v>
          </cell>
          <cell r="G173" t="str">
            <v>R</v>
          </cell>
          <cell r="H173">
            <v>69</v>
          </cell>
          <cell r="I173">
            <v>12</v>
          </cell>
          <cell r="J173">
            <v>4</v>
          </cell>
          <cell r="K173">
            <v>23</v>
          </cell>
          <cell r="L173">
            <v>0.5</v>
          </cell>
          <cell r="M173">
            <v>1446.52</v>
          </cell>
          <cell r="N173">
            <v>0.75942100000000001</v>
          </cell>
          <cell r="O173">
            <v>1.21326</v>
          </cell>
        </row>
        <row r="174">
          <cell r="B174" t="str">
            <v>OAS2_0079_MR2</v>
          </cell>
          <cell r="C174" t="str">
            <v>Demented</v>
          </cell>
          <cell r="D174" t="str">
            <v>2</v>
          </cell>
          <cell r="E174">
            <v>584</v>
          </cell>
          <cell r="F174" t="str">
            <v>F</v>
          </cell>
          <cell r="G174" t="str">
            <v>R</v>
          </cell>
          <cell r="H174">
            <v>71</v>
          </cell>
          <cell r="I174">
            <v>12</v>
          </cell>
          <cell r="J174">
            <v>4</v>
          </cell>
          <cell r="K174">
            <v>16</v>
          </cell>
          <cell r="L174">
            <v>1</v>
          </cell>
          <cell r="M174">
            <v>1492.02</v>
          </cell>
          <cell r="N174">
            <v>0.72489800000000004</v>
          </cell>
          <cell r="O174">
            <v>1.1762600000000001</v>
          </cell>
        </row>
        <row r="175">
          <cell r="B175" t="str">
            <v>OAS2_0079_MR3</v>
          </cell>
          <cell r="C175" t="str">
            <v>Demented</v>
          </cell>
          <cell r="D175" t="str">
            <v>3</v>
          </cell>
          <cell r="E175">
            <v>1435</v>
          </cell>
          <cell r="F175" t="str">
            <v>F</v>
          </cell>
          <cell r="G175" t="str">
            <v>R</v>
          </cell>
          <cell r="H175">
            <v>73</v>
          </cell>
          <cell r="I175">
            <v>12</v>
          </cell>
          <cell r="J175">
            <v>4</v>
          </cell>
          <cell r="K175">
            <v>16</v>
          </cell>
          <cell r="L175">
            <v>1</v>
          </cell>
          <cell r="M175">
            <v>1477.6545790873599</v>
          </cell>
          <cell r="N175">
            <v>0.69645500000000005</v>
          </cell>
          <cell r="O175">
            <v>1.1876930000000001</v>
          </cell>
        </row>
        <row r="176">
          <cell r="B176" t="str">
            <v>OAS2_0080_MR1</v>
          </cell>
          <cell r="C176" t="str">
            <v>Demented</v>
          </cell>
          <cell r="D176" t="str">
            <v>1</v>
          </cell>
          <cell r="E176">
            <v>0</v>
          </cell>
          <cell r="F176" t="str">
            <v>M</v>
          </cell>
          <cell r="G176" t="str">
            <v>R</v>
          </cell>
          <cell r="H176">
            <v>66</v>
          </cell>
          <cell r="I176">
            <v>15</v>
          </cell>
          <cell r="J176">
            <v>2</v>
          </cell>
          <cell r="K176">
            <v>25</v>
          </cell>
          <cell r="L176">
            <v>0.5</v>
          </cell>
          <cell r="M176">
            <v>1548.03</v>
          </cell>
          <cell r="N176">
            <v>0.72714000000000001</v>
          </cell>
          <cell r="O176">
            <v>1.1336999999999999</v>
          </cell>
        </row>
        <row r="177">
          <cell r="B177" t="str">
            <v>OAS2_0080_MR2</v>
          </cell>
          <cell r="C177" t="str">
            <v>Demented</v>
          </cell>
          <cell r="D177" t="str">
            <v>2</v>
          </cell>
          <cell r="E177">
            <v>580</v>
          </cell>
          <cell r="F177" t="str">
            <v>M</v>
          </cell>
          <cell r="G177" t="str">
            <v>R</v>
          </cell>
          <cell r="H177">
            <v>68</v>
          </cell>
          <cell r="I177">
            <v>15</v>
          </cell>
          <cell r="J177">
            <v>2</v>
          </cell>
          <cell r="K177">
            <v>30</v>
          </cell>
          <cell r="L177">
            <v>0.5</v>
          </cell>
          <cell r="M177">
            <v>1556.42</v>
          </cell>
          <cell r="N177">
            <v>0.713287</v>
          </cell>
          <cell r="O177">
            <v>1.1275900000000001</v>
          </cell>
        </row>
        <row r="178">
          <cell r="B178" t="str">
            <v>OAS2_0080_MR3</v>
          </cell>
          <cell r="C178" t="str">
            <v>Demented</v>
          </cell>
          <cell r="D178" t="str">
            <v>3</v>
          </cell>
          <cell r="E178">
            <v>1209</v>
          </cell>
          <cell r="F178" t="str">
            <v>M</v>
          </cell>
          <cell r="G178" t="str">
            <v>R</v>
          </cell>
          <cell r="H178">
            <v>69</v>
          </cell>
          <cell r="I178">
            <v>15</v>
          </cell>
          <cell r="J178">
            <v>2</v>
          </cell>
          <cell r="K178">
            <v>28</v>
          </cell>
          <cell r="L178">
            <v>0.5</v>
          </cell>
          <cell r="M178">
            <v>1545.8727839186899</v>
          </cell>
          <cell r="N178">
            <v>0.723769</v>
          </cell>
          <cell r="O178">
            <v>1.135281</v>
          </cell>
        </row>
        <row r="179">
          <cell r="B179" t="str">
            <v>OAS2_0081_MR1</v>
          </cell>
          <cell r="C179" t="str">
            <v>Demented</v>
          </cell>
          <cell r="D179" t="str">
            <v>1</v>
          </cell>
          <cell r="E179">
            <v>0</v>
          </cell>
          <cell r="F179" t="str">
            <v>F</v>
          </cell>
          <cell r="G179" t="str">
            <v>R</v>
          </cell>
          <cell r="H179">
            <v>82</v>
          </cell>
          <cell r="I179">
            <v>12</v>
          </cell>
          <cell r="J179">
            <v>4</v>
          </cell>
          <cell r="K179">
            <v>26</v>
          </cell>
          <cell r="L179">
            <v>0.5</v>
          </cell>
          <cell r="M179">
            <v>1270.83</v>
          </cell>
          <cell r="N179">
            <v>0.695299</v>
          </cell>
          <cell r="O179">
            <v>1.3809899999999999</v>
          </cell>
        </row>
        <row r="180">
          <cell r="B180" t="str">
            <v>OAS2_0081_MR2</v>
          </cell>
          <cell r="C180" t="str">
            <v>Demented</v>
          </cell>
          <cell r="D180" t="str">
            <v>2</v>
          </cell>
          <cell r="E180">
            <v>659</v>
          </cell>
          <cell r="F180" t="str">
            <v>F</v>
          </cell>
          <cell r="G180" t="str">
            <v>R</v>
          </cell>
          <cell r="H180">
            <v>84</v>
          </cell>
          <cell r="I180">
            <v>12</v>
          </cell>
          <cell r="J180">
            <v>4</v>
          </cell>
          <cell r="K180">
            <v>26</v>
          </cell>
          <cell r="L180">
            <v>0.5</v>
          </cell>
          <cell r="M180">
            <v>1273.44</v>
          </cell>
          <cell r="N180">
            <v>0.686334</v>
          </cell>
          <cell r="O180">
            <v>1.3781600000000001</v>
          </cell>
        </row>
        <row r="181">
          <cell r="B181" t="str">
            <v>OAS2_0085_MR1</v>
          </cell>
          <cell r="C181" t="str">
            <v>Nondemented</v>
          </cell>
          <cell r="D181" t="str">
            <v>1</v>
          </cell>
          <cell r="E181">
            <v>0</v>
          </cell>
          <cell r="F181" t="str">
            <v>F</v>
          </cell>
          <cell r="G181" t="str">
            <v>R</v>
          </cell>
          <cell r="H181">
            <v>78</v>
          </cell>
          <cell r="I181">
            <v>8</v>
          </cell>
          <cell r="J181">
            <v>5</v>
          </cell>
          <cell r="K181">
            <v>29</v>
          </cell>
          <cell r="L181">
            <v>0</v>
          </cell>
          <cell r="M181">
            <v>1382.69</v>
          </cell>
          <cell r="N181">
            <v>0.75565800000000005</v>
          </cell>
          <cell r="O181">
            <v>1.2692699999999999</v>
          </cell>
        </row>
        <row r="182">
          <cell r="B182" t="str">
            <v>OAS2_0085_MR2</v>
          </cell>
          <cell r="C182" t="str">
            <v>Nondemented</v>
          </cell>
          <cell r="D182" t="str">
            <v>2</v>
          </cell>
          <cell r="E182">
            <v>670</v>
          </cell>
          <cell r="F182" t="str">
            <v>F</v>
          </cell>
          <cell r="G182" t="str">
            <v>R</v>
          </cell>
          <cell r="H182">
            <v>80</v>
          </cell>
          <cell r="I182">
            <v>8</v>
          </cell>
          <cell r="J182">
            <v>5</v>
          </cell>
          <cell r="K182">
            <v>27</v>
          </cell>
          <cell r="L182">
            <v>0</v>
          </cell>
          <cell r="M182">
            <v>1381.42</v>
          </cell>
          <cell r="N182">
            <v>0.75091300000000005</v>
          </cell>
          <cell r="O182">
            <v>1.2704299999999999</v>
          </cell>
        </row>
        <row r="183">
          <cell r="B183" t="str">
            <v>OAS2_0086_MR1</v>
          </cell>
          <cell r="C183" t="str">
            <v>Nondemented</v>
          </cell>
          <cell r="D183" t="str">
            <v>1</v>
          </cell>
          <cell r="E183">
            <v>0</v>
          </cell>
          <cell r="F183" t="str">
            <v>F</v>
          </cell>
          <cell r="G183" t="str">
            <v>R</v>
          </cell>
          <cell r="H183">
            <v>63</v>
          </cell>
          <cell r="I183">
            <v>15</v>
          </cell>
          <cell r="J183">
            <v>2</v>
          </cell>
          <cell r="K183">
            <v>28</v>
          </cell>
          <cell r="L183">
            <v>0</v>
          </cell>
          <cell r="M183">
            <v>1544.31</v>
          </cell>
          <cell r="N183">
            <v>0.80530500000000005</v>
          </cell>
          <cell r="O183">
            <v>1.1364300000000001</v>
          </cell>
        </row>
        <row r="184">
          <cell r="B184" t="str">
            <v>OAS2_0086_MR2</v>
          </cell>
          <cell r="C184" t="str">
            <v>Nondemented</v>
          </cell>
          <cell r="D184" t="str">
            <v>2</v>
          </cell>
          <cell r="E184">
            <v>802</v>
          </cell>
          <cell r="F184" t="str">
            <v>F</v>
          </cell>
          <cell r="G184" t="str">
            <v>R</v>
          </cell>
          <cell r="H184">
            <v>65</v>
          </cell>
          <cell r="I184">
            <v>15</v>
          </cell>
          <cell r="J184">
            <v>2</v>
          </cell>
          <cell r="K184">
            <v>28</v>
          </cell>
          <cell r="L184">
            <v>0</v>
          </cell>
          <cell r="M184">
            <v>1542.1751963746999</v>
          </cell>
          <cell r="N184">
            <v>0.79177799999999998</v>
          </cell>
          <cell r="O184">
            <v>1.1380030000000001</v>
          </cell>
        </row>
        <row r="185">
          <cell r="B185" t="str">
            <v>OAS2_0087_MR1</v>
          </cell>
          <cell r="C185" t="str">
            <v>Demented</v>
          </cell>
          <cell r="D185" t="str">
            <v>1</v>
          </cell>
          <cell r="E185">
            <v>0</v>
          </cell>
          <cell r="F185" t="str">
            <v>F</v>
          </cell>
          <cell r="G185" t="str">
            <v>R</v>
          </cell>
          <cell r="H185">
            <v>96</v>
          </cell>
          <cell r="I185">
            <v>17</v>
          </cell>
          <cell r="J185">
            <v>1</v>
          </cell>
          <cell r="K185">
            <v>26</v>
          </cell>
          <cell r="L185">
            <v>1</v>
          </cell>
          <cell r="M185">
            <v>1464.91</v>
          </cell>
          <cell r="N185">
            <v>0.68272200000000005</v>
          </cell>
          <cell r="O185">
            <v>1.1980299999999999</v>
          </cell>
        </row>
        <row r="186">
          <cell r="B186" t="str">
            <v>OAS2_0087_MR2</v>
          </cell>
          <cell r="C186" t="str">
            <v>Demented</v>
          </cell>
          <cell r="D186" t="str">
            <v>2</v>
          </cell>
          <cell r="E186">
            <v>754</v>
          </cell>
          <cell r="F186" t="str">
            <v>F</v>
          </cell>
          <cell r="G186" t="str">
            <v>R</v>
          </cell>
          <cell r="H186">
            <v>98</v>
          </cell>
          <cell r="I186">
            <v>17</v>
          </cell>
          <cell r="J186">
            <v>1</v>
          </cell>
          <cell r="K186">
            <v>21</v>
          </cell>
          <cell r="L186">
            <v>2</v>
          </cell>
          <cell r="M186">
            <v>1502.83612150109</v>
          </cell>
          <cell r="N186">
            <v>0.65957900000000003</v>
          </cell>
          <cell r="O186">
            <v>1.1677919999999999</v>
          </cell>
        </row>
        <row r="187">
          <cell r="B187" t="str">
            <v>OAS2_0088_MR1</v>
          </cell>
          <cell r="C187" t="str">
            <v>Demented</v>
          </cell>
          <cell r="D187" t="str">
            <v>1</v>
          </cell>
          <cell r="E187">
            <v>0</v>
          </cell>
          <cell r="F187" t="str">
            <v>M</v>
          </cell>
          <cell r="G187" t="str">
            <v>R</v>
          </cell>
          <cell r="H187">
            <v>78</v>
          </cell>
          <cell r="I187">
            <v>12</v>
          </cell>
          <cell r="J187">
            <v>4</v>
          </cell>
          <cell r="K187">
            <v>21</v>
          </cell>
          <cell r="L187">
            <v>1</v>
          </cell>
          <cell r="M187">
            <v>1477.47</v>
          </cell>
          <cell r="N187">
            <v>0.67171400000000003</v>
          </cell>
          <cell r="O187">
            <v>1.18784</v>
          </cell>
        </row>
        <row r="188">
          <cell r="B188" t="str">
            <v>OAS2_0088_MR2</v>
          </cell>
          <cell r="C188" t="str">
            <v>Demented</v>
          </cell>
          <cell r="D188" t="str">
            <v>2</v>
          </cell>
          <cell r="E188">
            <v>751</v>
          </cell>
          <cell r="F188" t="str">
            <v>M</v>
          </cell>
          <cell r="G188" t="str">
            <v>R</v>
          </cell>
          <cell r="H188">
            <v>80</v>
          </cell>
          <cell r="I188">
            <v>12</v>
          </cell>
          <cell r="J188">
            <v>4</v>
          </cell>
          <cell r="K188">
            <v>20</v>
          </cell>
          <cell r="L188">
            <v>1</v>
          </cell>
          <cell r="M188">
            <v>1493.89</v>
          </cell>
          <cell r="N188">
            <v>0.66106699999999996</v>
          </cell>
          <cell r="O188">
            <v>1.17479</v>
          </cell>
        </row>
        <row r="189">
          <cell r="B189" t="str">
            <v>OAS2_0089_MR1</v>
          </cell>
          <cell r="C189" t="str">
            <v>Demented</v>
          </cell>
          <cell r="D189" t="str">
            <v>1</v>
          </cell>
          <cell r="E189">
            <v>0</v>
          </cell>
          <cell r="F189" t="str">
            <v>M</v>
          </cell>
          <cell r="G189" t="str">
            <v>R</v>
          </cell>
          <cell r="H189">
            <v>70</v>
          </cell>
          <cell r="I189">
            <v>12</v>
          </cell>
          <cell r="J189">
            <v>2</v>
          </cell>
          <cell r="K189">
            <v>29</v>
          </cell>
          <cell r="L189">
            <v>0.5</v>
          </cell>
          <cell r="M189">
            <v>1432.47</v>
          </cell>
          <cell r="N189">
            <v>0.69235400000000002</v>
          </cell>
          <cell r="O189">
            <v>1.22516</v>
          </cell>
        </row>
        <row r="190">
          <cell r="B190" t="str">
            <v>OAS2_0089_MR3</v>
          </cell>
          <cell r="C190" t="str">
            <v>Demented</v>
          </cell>
          <cell r="D190" t="str">
            <v>3</v>
          </cell>
          <cell r="E190">
            <v>563</v>
          </cell>
          <cell r="F190" t="str">
            <v>M</v>
          </cell>
          <cell r="G190" t="str">
            <v>R</v>
          </cell>
          <cell r="H190">
            <v>72</v>
          </cell>
          <cell r="I190">
            <v>12</v>
          </cell>
          <cell r="J190">
            <v>2</v>
          </cell>
          <cell r="K190">
            <v>27</v>
          </cell>
          <cell r="L190">
            <v>1</v>
          </cell>
          <cell r="M190">
            <v>1431.57</v>
          </cell>
          <cell r="N190">
            <v>0.68449499999999996</v>
          </cell>
          <cell r="O190">
            <v>1.22593</v>
          </cell>
        </row>
        <row r="191">
          <cell r="B191" t="str">
            <v>OAS2_0090_MR1</v>
          </cell>
          <cell r="C191" t="str">
            <v>Nondemented</v>
          </cell>
          <cell r="D191" t="str">
            <v>1</v>
          </cell>
          <cell r="E191">
            <v>0</v>
          </cell>
          <cell r="F191" t="str">
            <v>M</v>
          </cell>
          <cell r="G191" t="str">
            <v>R</v>
          </cell>
          <cell r="H191">
            <v>73</v>
          </cell>
          <cell r="I191">
            <v>18</v>
          </cell>
          <cell r="J191">
            <v>2</v>
          </cell>
          <cell r="K191">
            <v>29</v>
          </cell>
          <cell r="L191">
            <v>0</v>
          </cell>
          <cell r="M191">
            <v>1548.15</v>
          </cell>
          <cell r="N191">
            <v>0.77320100000000003</v>
          </cell>
          <cell r="O191">
            <v>1.13361</v>
          </cell>
        </row>
        <row r="192">
          <cell r="B192" t="str">
            <v>OAS2_0090_MR2</v>
          </cell>
          <cell r="C192" t="str">
            <v>Nondemented</v>
          </cell>
          <cell r="D192" t="str">
            <v>2</v>
          </cell>
          <cell r="E192">
            <v>680</v>
          </cell>
          <cell r="F192" t="str">
            <v>M</v>
          </cell>
          <cell r="G192" t="str">
            <v>R</v>
          </cell>
          <cell r="H192">
            <v>75</v>
          </cell>
          <cell r="I192">
            <v>18</v>
          </cell>
          <cell r="J192">
            <v>2</v>
          </cell>
          <cell r="K192">
            <v>29</v>
          </cell>
          <cell r="L192">
            <v>0</v>
          </cell>
          <cell r="M192">
            <v>1533.71</v>
          </cell>
          <cell r="N192">
            <v>0.771706</v>
          </cell>
          <cell r="O192">
            <v>1.14428</v>
          </cell>
        </row>
        <row r="193">
          <cell r="B193" t="str">
            <v>OAS2_0090_MR3</v>
          </cell>
          <cell r="C193" t="str">
            <v>Nondemented</v>
          </cell>
          <cell r="D193" t="str">
            <v>3</v>
          </cell>
          <cell r="E193">
            <v>1345</v>
          </cell>
          <cell r="F193" t="str">
            <v>M</v>
          </cell>
          <cell r="G193" t="str">
            <v>R</v>
          </cell>
          <cell r="H193">
            <v>76</v>
          </cell>
          <cell r="I193">
            <v>18</v>
          </cell>
          <cell r="J193">
            <v>2</v>
          </cell>
          <cell r="K193">
            <v>30</v>
          </cell>
          <cell r="L193">
            <v>0</v>
          </cell>
          <cell r="M193">
            <v>1549.63</v>
          </cell>
          <cell r="N193">
            <v>0.75764900000000002</v>
          </cell>
          <cell r="O193">
            <v>1.13253</v>
          </cell>
        </row>
        <row r="194">
          <cell r="B194" t="str">
            <v>OAS2_0091_MR1</v>
          </cell>
          <cell r="C194" t="str">
            <v>Nondemented</v>
          </cell>
          <cell r="D194" t="str">
            <v>1</v>
          </cell>
          <cell r="E194">
            <v>0</v>
          </cell>
          <cell r="F194" t="str">
            <v>M</v>
          </cell>
          <cell r="G194" t="str">
            <v>R</v>
          </cell>
          <cell r="H194">
            <v>75</v>
          </cell>
          <cell r="I194">
            <v>12</v>
          </cell>
          <cell r="J194">
            <v>4</v>
          </cell>
          <cell r="K194">
            <v>28</v>
          </cell>
          <cell r="L194">
            <v>0</v>
          </cell>
          <cell r="M194">
            <v>1510.93</v>
          </cell>
          <cell r="N194">
            <v>0.73898600000000003</v>
          </cell>
          <cell r="O194">
            <v>1.16153</v>
          </cell>
        </row>
        <row r="195">
          <cell r="B195" t="str">
            <v>OAS2_0091_MR2</v>
          </cell>
          <cell r="C195" t="str">
            <v>Nondemented</v>
          </cell>
          <cell r="D195" t="str">
            <v>2</v>
          </cell>
          <cell r="E195">
            <v>1047</v>
          </cell>
          <cell r="F195" t="str">
            <v>M</v>
          </cell>
          <cell r="G195" t="str">
            <v>R</v>
          </cell>
          <cell r="H195">
            <v>78</v>
          </cell>
          <cell r="I195">
            <v>12</v>
          </cell>
          <cell r="J195">
            <v>4</v>
          </cell>
          <cell r="K195">
            <v>29</v>
          </cell>
          <cell r="L195">
            <v>0</v>
          </cell>
          <cell r="M195">
            <v>1505.65</v>
          </cell>
          <cell r="N195">
            <v>0.71484599999999998</v>
          </cell>
          <cell r="O195">
            <v>1.16561</v>
          </cell>
        </row>
        <row r="196">
          <cell r="B196" t="str">
            <v>OAS2_0092_MR1</v>
          </cell>
          <cell r="C196" t="str">
            <v>Converted</v>
          </cell>
          <cell r="D196" t="str">
            <v>1</v>
          </cell>
          <cell r="E196">
            <v>0</v>
          </cell>
          <cell r="F196" t="str">
            <v>F</v>
          </cell>
          <cell r="G196" t="str">
            <v>R</v>
          </cell>
          <cell r="H196">
            <v>83</v>
          </cell>
          <cell r="I196">
            <v>12</v>
          </cell>
          <cell r="J196">
            <v>2</v>
          </cell>
          <cell r="K196">
            <v>28</v>
          </cell>
          <cell r="L196">
            <v>0</v>
          </cell>
          <cell r="M196">
            <v>1383.37</v>
          </cell>
          <cell r="N196">
            <v>0.74773800000000001</v>
          </cell>
          <cell r="O196">
            <v>1.26864</v>
          </cell>
        </row>
        <row r="197">
          <cell r="B197" t="str">
            <v>OAS2_0092_MR2</v>
          </cell>
          <cell r="C197" t="str">
            <v>Converted</v>
          </cell>
          <cell r="D197" t="str">
            <v>2</v>
          </cell>
          <cell r="E197">
            <v>706</v>
          </cell>
          <cell r="F197" t="str">
            <v>F</v>
          </cell>
          <cell r="G197" t="str">
            <v>R</v>
          </cell>
          <cell r="H197">
            <v>84</v>
          </cell>
          <cell r="I197">
            <v>12</v>
          </cell>
          <cell r="J197">
            <v>2</v>
          </cell>
          <cell r="K197">
            <v>27</v>
          </cell>
          <cell r="L197">
            <v>0.5</v>
          </cell>
          <cell r="M197">
            <v>1389.82</v>
          </cell>
          <cell r="N197">
            <v>0.72764099999999998</v>
          </cell>
          <cell r="O197">
            <v>1.26275</v>
          </cell>
        </row>
        <row r="198">
          <cell r="B198" t="str">
            <v>OAS2_0094_MR1</v>
          </cell>
          <cell r="C198" t="str">
            <v>Nondemented</v>
          </cell>
          <cell r="D198" t="str">
            <v>1</v>
          </cell>
          <cell r="E198">
            <v>0</v>
          </cell>
          <cell r="F198" t="str">
            <v>F</v>
          </cell>
          <cell r="G198" t="str">
            <v>R</v>
          </cell>
          <cell r="H198">
            <v>61</v>
          </cell>
          <cell r="I198">
            <v>16</v>
          </cell>
          <cell r="J198">
            <v>1</v>
          </cell>
          <cell r="K198">
            <v>30</v>
          </cell>
          <cell r="L198">
            <v>0</v>
          </cell>
          <cell r="M198">
            <v>1512.75</v>
          </cell>
          <cell r="N198">
            <v>0.771088</v>
          </cell>
          <cell r="O198">
            <v>1.1601399999999999</v>
          </cell>
        </row>
        <row r="199">
          <cell r="B199" t="str">
            <v>OAS2_0094_MR2</v>
          </cell>
          <cell r="C199" t="str">
            <v>Nondemented</v>
          </cell>
          <cell r="D199" t="str">
            <v>2</v>
          </cell>
          <cell r="E199">
            <v>817</v>
          </cell>
          <cell r="F199" t="str">
            <v>F</v>
          </cell>
          <cell r="G199" t="str">
            <v>R</v>
          </cell>
          <cell r="H199">
            <v>63</v>
          </cell>
          <cell r="I199">
            <v>16</v>
          </cell>
          <cell r="J199">
            <v>1</v>
          </cell>
          <cell r="K199">
            <v>30</v>
          </cell>
          <cell r="L199">
            <v>0</v>
          </cell>
          <cell r="M199">
            <v>1448.53730747041</v>
          </cell>
          <cell r="N199">
            <v>0.77435900000000002</v>
          </cell>
          <cell r="O199">
            <v>1.2115670000000001</v>
          </cell>
        </row>
        <row r="200">
          <cell r="B200" t="str">
            <v>OAS2_0095_MR1</v>
          </cell>
          <cell r="C200" t="str">
            <v>Nondemented</v>
          </cell>
          <cell r="D200" t="str">
            <v>1</v>
          </cell>
          <cell r="E200">
            <v>0</v>
          </cell>
          <cell r="F200" t="str">
            <v>M</v>
          </cell>
          <cell r="G200" t="str">
            <v>R</v>
          </cell>
          <cell r="H200">
            <v>71</v>
          </cell>
          <cell r="I200">
            <v>18</v>
          </cell>
          <cell r="J200">
            <v>1</v>
          </cell>
          <cell r="K200">
            <v>30</v>
          </cell>
          <cell r="L200">
            <v>0</v>
          </cell>
          <cell r="M200">
            <v>1769.48</v>
          </cell>
          <cell r="N200">
            <v>0.69906800000000002</v>
          </cell>
          <cell r="O200">
            <v>0.991815</v>
          </cell>
        </row>
        <row r="201">
          <cell r="B201" t="str">
            <v>OAS2_0095_MR2</v>
          </cell>
          <cell r="C201" t="str">
            <v>Nondemented</v>
          </cell>
          <cell r="D201" t="str">
            <v>2</v>
          </cell>
          <cell r="E201">
            <v>673</v>
          </cell>
          <cell r="F201" t="str">
            <v>M</v>
          </cell>
          <cell r="G201" t="str">
            <v>R</v>
          </cell>
          <cell r="H201">
            <v>72</v>
          </cell>
          <cell r="I201">
            <v>18</v>
          </cell>
          <cell r="J201">
            <v>1</v>
          </cell>
          <cell r="K201">
            <v>29</v>
          </cell>
          <cell r="L201">
            <v>0</v>
          </cell>
          <cell r="M201">
            <v>1785.35</v>
          </cell>
          <cell r="N201">
            <v>0.68660399999999999</v>
          </cell>
          <cell r="O201">
            <v>0.98300299999999996</v>
          </cell>
        </row>
        <row r="202">
          <cell r="B202" t="str">
            <v>OAS2_0095_MR3</v>
          </cell>
          <cell r="C202" t="str">
            <v>Nondemented</v>
          </cell>
          <cell r="D202" t="str">
            <v>3</v>
          </cell>
          <cell r="E202">
            <v>1412</v>
          </cell>
          <cell r="F202" t="str">
            <v>M</v>
          </cell>
          <cell r="G202" t="str">
            <v>R</v>
          </cell>
          <cell r="H202">
            <v>74</v>
          </cell>
          <cell r="I202">
            <v>18</v>
          </cell>
          <cell r="J202">
            <v>1</v>
          </cell>
          <cell r="K202">
            <v>29</v>
          </cell>
          <cell r="L202">
            <v>0</v>
          </cell>
          <cell r="M202">
            <v>1814.1559988091699</v>
          </cell>
          <cell r="N202">
            <v>0.67934399999999995</v>
          </cell>
          <cell r="O202">
            <v>0.96739200000000003</v>
          </cell>
        </row>
        <row r="203">
          <cell r="B203" t="str">
            <v>OAS2_0096_MR1</v>
          </cell>
          <cell r="C203" t="str">
            <v>Nondemented</v>
          </cell>
          <cell r="D203" t="str">
            <v>1</v>
          </cell>
          <cell r="E203">
            <v>0</v>
          </cell>
          <cell r="F203" t="str">
            <v>F</v>
          </cell>
          <cell r="G203" t="str">
            <v>R</v>
          </cell>
          <cell r="H203">
            <v>89</v>
          </cell>
          <cell r="I203">
            <v>13</v>
          </cell>
          <cell r="J203">
            <v>3</v>
          </cell>
          <cell r="K203">
            <v>29</v>
          </cell>
          <cell r="L203">
            <v>0</v>
          </cell>
          <cell r="M203">
            <v>1153.75</v>
          </cell>
          <cell r="N203">
            <v>0.74995400000000001</v>
          </cell>
          <cell r="O203">
            <v>1.5211300000000001</v>
          </cell>
        </row>
        <row r="204">
          <cell r="B204" t="str">
            <v>OAS2_0096_MR2</v>
          </cell>
          <cell r="C204" t="str">
            <v>Nondemented</v>
          </cell>
          <cell r="D204" t="str">
            <v>2</v>
          </cell>
          <cell r="E204">
            <v>778</v>
          </cell>
          <cell r="F204" t="str">
            <v>F</v>
          </cell>
          <cell r="G204" t="str">
            <v>R</v>
          </cell>
          <cell r="H204">
            <v>91</v>
          </cell>
          <cell r="I204">
            <v>13</v>
          </cell>
          <cell r="J204">
            <v>3</v>
          </cell>
          <cell r="K204">
            <v>28</v>
          </cell>
          <cell r="L204">
            <v>0</v>
          </cell>
          <cell r="M204">
            <v>1165.26</v>
          </cell>
          <cell r="N204">
            <v>0.73557600000000001</v>
          </cell>
          <cell r="O204">
            <v>1.5061</v>
          </cell>
        </row>
        <row r="205">
          <cell r="B205" t="str">
            <v>OAS2_0097_MR1</v>
          </cell>
          <cell r="C205" t="str">
            <v>Nondemented</v>
          </cell>
          <cell r="D205" t="str">
            <v>1</v>
          </cell>
          <cell r="E205">
            <v>0</v>
          </cell>
          <cell r="F205" t="str">
            <v>M</v>
          </cell>
          <cell r="G205" t="str">
            <v>R</v>
          </cell>
          <cell r="H205">
            <v>74</v>
          </cell>
          <cell r="I205">
            <v>16</v>
          </cell>
          <cell r="J205">
            <v>2</v>
          </cell>
          <cell r="K205">
            <v>30</v>
          </cell>
          <cell r="L205">
            <v>0</v>
          </cell>
          <cell r="M205">
            <v>1610.93</v>
          </cell>
          <cell r="N205">
            <v>0.72939699999999996</v>
          </cell>
          <cell r="O205">
            <v>1.0894299999999999</v>
          </cell>
        </row>
        <row r="206">
          <cell r="B206" t="str">
            <v>OAS2_0097_MR2</v>
          </cell>
          <cell r="C206" t="str">
            <v>Nondemented</v>
          </cell>
          <cell r="D206" t="str">
            <v>2</v>
          </cell>
          <cell r="E206">
            <v>1024</v>
          </cell>
          <cell r="F206" t="str">
            <v>M</v>
          </cell>
          <cell r="G206" t="str">
            <v>R</v>
          </cell>
          <cell r="H206">
            <v>77</v>
          </cell>
          <cell r="I206">
            <v>16</v>
          </cell>
          <cell r="J206">
            <v>2</v>
          </cell>
          <cell r="K206">
            <v>30</v>
          </cell>
          <cell r="L206">
            <v>0</v>
          </cell>
          <cell r="M206">
            <v>1628.42</v>
          </cell>
          <cell r="N206">
            <v>0.70914699999999997</v>
          </cell>
          <cell r="O206">
            <v>1.0777300000000001</v>
          </cell>
        </row>
        <row r="207">
          <cell r="B207" t="str">
            <v>OAS2_0098_MR1</v>
          </cell>
          <cell r="C207" t="str">
            <v>Demented</v>
          </cell>
          <cell r="D207" t="str">
            <v>1</v>
          </cell>
          <cell r="E207">
            <v>0</v>
          </cell>
          <cell r="F207" t="str">
            <v>M</v>
          </cell>
          <cell r="G207" t="str">
            <v>R</v>
          </cell>
          <cell r="H207">
            <v>66</v>
          </cell>
          <cell r="I207">
            <v>12</v>
          </cell>
          <cell r="J207">
            <v>4</v>
          </cell>
          <cell r="K207">
            <v>30</v>
          </cell>
          <cell r="L207">
            <v>0.5</v>
          </cell>
          <cell r="M207">
            <v>1445.94</v>
          </cell>
          <cell r="N207">
            <v>0.78029999999999999</v>
          </cell>
          <cell r="O207">
            <v>1.21374</v>
          </cell>
        </row>
        <row r="208">
          <cell r="B208" t="str">
            <v>OAS2_0098_MR2</v>
          </cell>
          <cell r="C208" t="str">
            <v>Demented</v>
          </cell>
          <cell r="D208" t="str">
            <v>2</v>
          </cell>
          <cell r="E208">
            <v>661</v>
          </cell>
          <cell r="F208" t="str">
            <v>M</v>
          </cell>
          <cell r="G208" t="str">
            <v>R</v>
          </cell>
          <cell r="H208">
            <v>67</v>
          </cell>
          <cell r="I208">
            <v>12</v>
          </cell>
          <cell r="J208">
            <v>4</v>
          </cell>
          <cell r="K208">
            <v>28</v>
          </cell>
          <cell r="L208">
            <v>0.5</v>
          </cell>
          <cell r="M208">
            <v>1412.38277424168</v>
          </cell>
          <cell r="N208">
            <v>0.78274100000000002</v>
          </cell>
          <cell r="O208">
            <v>1.2425809999999999</v>
          </cell>
        </row>
        <row r="209">
          <cell r="B209" t="str">
            <v>OAS2_0099_MR1</v>
          </cell>
          <cell r="C209" t="str">
            <v>Demented</v>
          </cell>
          <cell r="D209" t="str">
            <v>1</v>
          </cell>
          <cell r="E209">
            <v>0</v>
          </cell>
          <cell r="F209" t="str">
            <v>F</v>
          </cell>
          <cell r="G209" t="str">
            <v>R</v>
          </cell>
          <cell r="H209">
            <v>80</v>
          </cell>
          <cell r="I209">
            <v>12</v>
          </cell>
          <cell r="K209">
            <v>27</v>
          </cell>
          <cell r="L209">
            <v>0.5</v>
          </cell>
          <cell r="M209">
            <v>1474.97</v>
          </cell>
          <cell r="N209">
            <v>0.76248899999999997</v>
          </cell>
          <cell r="O209">
            <v>1.1898500000000001</v>
          </cell>
        </row>
        <row r="210">
          <cell r="B210" t="str">
            <v>OAS2_0099_MR2</v>
          </cell>
          <cell r="C210" t="str">
            <v>Demented</v>
          </cell>
          <cell r="D210" t="str">
            <v>2</v>
          </cell>
          <cell r="E210">
            <v>807</v>
          </cell>
          <cell r="F210" t="str">
            <v>F</v>
          </cell>
          <cell r="G210" t="str">
            <v>R</v>
          </cell>
          <cell r="H210">
            <v>83</v>
          </cell>
          <cell r="I210">
            <v>12</v>
          </cell>
          <cell r="K210">
            <v>23</v>
          </cell>
          <cell r="L210">
            <v>0.5</v>
          </cell>
          <cell r="M210">
            <v>1483.77987639395</v>
          </cell>
          <cell r="N210">
            <v>0.75039900000000004</v>
          </cell>
          <cell r="O210">
            <v>1.18279</v>
          </cell>
        </row>
        <row r="211">
          <cell r="B211" t="str">
            <v>OAS2_0100_MR1</v>
          </cell>
          <cell r="C211" t="str">
            <v>Nondemented</v>
          </cell>
          <cell r="D211" t="str">
            <v>1</v>
          </cell>
          <cell r="E211">
            <v>0</v>
          </cell>
          <cell r="F211" t="str">
            <v>F</v>
          </cell>
          <cell r="G211" t="str">
            <v>R</v>
          </cell>
          <cell r="H211">
            <v>77</v>
          </cell>
          <cell r="I211">
            <v>11</v>
          </cell>
          <cell r="J211">
            <v>4</v>
          </cell>
          <cell r="K211">
            <v>29</v>
          </cell>
          <cell r="L211">
            <v>0</v>
          </cell>
          <cell r="M211">
            <v>1583.46</v>
          </cell>
          <cell r="N211">
            <v>0.77715000000000001</v>
          </cell>
          <cell r="O211">
            <v>1.10833</v>
          </cell>
        </row>
        <row r="212">
          <cell r="B212" t="str">
            <v>OAS2_0100_MR2</v>
          </cell>
          <cell r="C212" t="str">
            <v>Nondemented</v>
          </cell>
          <cell r="D212" t="str">
            <v>2</v>
          </cell>
          <cell r="E212">
            <v>1218</v>
          </cell>
          <cell r="F212" t="str">
            <v>F</v>
          </cell>
          <cell r="G212" t="str">
            <v>R</v>
          </cell>
          <cell r="H212">
            <v>80</v>
          </cell>
          <cell r="I212">
            <v>11</v>
          </cell>
          <cell r="J212">
            <v>4</v>
          </cell>
          <cell r="K212">
            <v>30</v>
          </cell>
          <cell r="L212">
            <v>0</v>
          </cell>
          <cell r="M212">
            <v>1586.0550067373399</v>
          </cell>
          <cell r="N212">
            <v>0.75731199999999999</v>
          </cell>
          <cell r="O212">
            <v>1.106519</v>
          </cell>
        </row>
        <row r="213">
          <cell r="B213" t="str">
            <v>OAS2_0100_MR3</v>
          </cell>
          <cell r="C213" t="str">
            <v>Nondemented</v>
          </cell>
          <cell r="D213" t="str">
            <v>3</v>
          </cell>
          <cell r="E213">
            <v>1752</v>
          </cell>
          <cell r="F213" t="str">
            <v>F</v>
          </cell>
          <cell r="G213" t="str">
            <v>R</v>
          </cell>
          <cell r="H213">
            <v>82</v>
          </cell>
          <cell r="I213">
            <v>11</v>
          </cell>
          <cell r="J213">
            <v>4</v>
          </cell>
          <cell r="K213">
            <v>30</v>
          </cell>
          <cell r="L213">
            <v>0</v>
          </cell>
          <cell r="M213">
            <v>1589.7329520389801</v>
          </cell>
          <cell r="N213">
            <v>0.76046800000000003</v>
          </cell>
          <cell r="O213">
            <v>1.1039589999999999</v>
          </cell>
        </row>
        <row r="214">
          <cell r="B214" t="str">
            <v>OAS2_0101_MR1</v>
          </cell>
          <cell r="C214" t="str">
            <v>Nondemented</v>
          </cell>
          <cell r="D214" t="str">
            <v>1</v>
          </cell>
          <cell r="E214">
            <v>0</v>
          </cell>
          <cell r="F214" t="str">
            <v>F</v>
          </cell>
          <cell r="G214" t="str">
            <v>R</v>
          </cell>
          <cell r="H214">
            <v>71</v>
          </cell>
          <cell r="I214">
            <v>18</v>
          </cell>
          <cell r="J214">
            <v>2</v>
          </cell>
          <cell r="K214">
            <v>30</v>
          </cell>
          <cell r="L214">
            <v>0</v>
          </cell>
          <cell r="M214">
            <v>1370.65</v>
          </cell>
          <cell r="N214">
            <v>0.76864900000000003</v>
          </cell>
          <cell r="O214">
            <v>1.2804199999999999</v>
          </cell>
        </row>
        <row r="215">
          <cell r="B215" t="str">
            <v>OAS2_0101_MR2</v>
          </cell>
          <cell r="C215" t="str">
            <v>Nondemented</v>
          </cell>
          <cell r="D215" t="str">
            <v>2</v>
          </cell>
          <cell r="E215">
            <v>952</v>
          </cell>
          <cell r="F215" t="str">
            <v>F</v>
          </cell>
          <cell r="G215" t="str">
            <v>R</v>
          </cell>
          <cell r="H215">
            <v>74</v>
          </cell>
          <cell r="I215">
            <v>18</v>
          </cell>
          <cell r="J215">
            <v>2</v>
          </cell>
          <cell r="K215">
            <v>30</v>
          </cell>
          <cell r="L215">
            <v>0</v>
          </cell>
          <cell r="M215">
            <v>1399.82</v>
          </cell>
          <cell r="N215">
            <v>0.75178400000000001</v>
          </cell>
          <cell r="O215">
            <v>1.25373</v>
          </cell>
        </row>
        <row r="216">
          <cell r="B216" t="str">
            <v>OAS2_0101_MR3</v>
          </cell>
          <cell r="C216" t="str">
            <v>Nondemented</v>
          </cell>
          <cell r="D216" t="str">
            <v>3</v>
          </cell>
          <cell r="E216">
            <v>1631</v>
          </cell>
          <cell r="F216" t="str">
            <v>F</v>
          </cell>
          <cell r="G216" t="str">
            <v>R</v>
          </cell>
          <cell r="H216">
            <v>76</v>
          </cell>
          <cell r="I216">
            <v>18</v>
          </cell>
          <cell r="J216">
            <v>2</v>
          </cell>
          <cell r="K216">
            <v>30</v>
          </cell>
          <cell r="L216">
            <v>0</v>
          </cell>
          <cell r="M216">
            <v>1379.0675617378299</v>
          </cell>
          <cell r="N216">
            <v>0.75707500000000005</v>
          </cell>
          <cell r="O216">
            <v>1.272599</v>
          </cell>
        </row>
        <row r="217">
          <cell r="B217" t="str">
            <v>OAS2_0102_MR1</v>
          </cell>
          <cell r="C217" t="str">
            <v>Demented</v>
          </cell>
          <cell r="D217" t="str">
            <v>1</v>
          </cell>
          <cell r="E217">
            <v>0</v>
          </cell>
          <cell r="F217" t="str">
            <v>M</v>
          </cell>
          <cell r="G217" t="str">
            <v>R</v>
          </cell>
          <cell r="H217">
            <v>82</v>
          </cell>
          <cell r="I217">
            <v>15</v>
          </cell>
          <cell r="J217">
            <v>3</v>
          </cell>
          <cell r="K217">
            <v>29</v>
          </cell>
          <cell r="L217">
            <v>0.5</v>
          </cell>
          <cell r="M217">
            <v>1498.9</v>
          </cell>
          <cell r="N217">
            <v>0.68871300000000002</v>
          </cell>
          <cell r="O217">
            <v>1.17086</v>
          </cell>
        </row>
        <row r="218">
          <cell r="B218" t="str">
            <v>OAS2_0102_MR2</v>
          </cell>
          <cell r="C218" t="str">
            <v>Demented</v>
          </cell>
          <cell r="D218" t="str">
            <v>2</v>
          </cell>
          <cell r="E218">
            <v>610</v>
          </cell>
          <cell r="F218" t="str">
            <v>M</v>
          </cell>
          <cell r="G218" t="str">
            <v>R</v>
          </cell>
          <cell r="H218">
            <v>84</v>
          </cell>
          <cell r="I218">
            <v>15</v>
          </cell>
          <cell r="J218">
            <v>3</v>
          </cell>
          <cell r="K218">
            <v>29</v>
          </cell>
          <cell r="L218">
            <v>0.5</v>
          </cell>
          <cell r="M218">
            <v>1497.34</v>
          </cell>
          <cell r="N218">
            <v>0.68598999999999999</v>
          </cell>
          <cell r="O218">
            <v>1.17208</v>
          </cell>
        </row>
        <row r="219">
          <cell r="B219" t="str">
            <v>OAS2_0102_MR3</v>
          </cell>
          <cell r="C219" t="str">
            <v>Demented</v>
          </cell>
          <cell r="D219" t="str">
            <v>3</v>
          </cell>
          <cell r="E219">
            <v>1387</v>
          </cell>
          <cell r="F219" t="str">
            <v>M</v>
          </cell>
          <cell r="G219" t="str">
            <v>R</v>
          </cell>
          <cell r="H219">
            <v>86</v>
          </cell>
          <cell r="I219">
            <v>15</v>
          </cell>
          <cell r="J219">
            <v>3</v>
          </cell>
          <cell r="K219">
            <v>30</v>
          </cell>
          <cell r="L219">
            <v>0.5</v>
          </cell>
          <cell r="M219">
            <v>1498.3057619461099</v>
          </cell>
          <cell r="N219">
            <v>0.68058300000000005</v>
          </cell>
          <cell r="O219">
            <v>1.1713229999999999</v>
          </cell>
        </row>
        <row r="220">
          <cell r="B220" t="str">
            <v>OAS2_0103_MR1</v>
          </cell>
          <cell r="C220" t="str">
            <v>Converted</v>
          </cell>
          <cell r="D220" t="str">
            <v>1</v>
          </cell>
          <cell r="E220">
            <v>0</v>
          </cell>
          <cell r="F220" t="str">
            <v>F</v>
          </cell>
          <cell r="G220" t="str">
            <v>R</v>
          </cell>
          <cell r="H220">
            <v>69</v>
          </cell>
          <cell r="I220">
            <v>16</v>
          </cell>
          <cell r="J220">
            <v>1</v>
          </cell>
          <cell r="K220">
            <v>30</v>
          </cell>
          <cell r="L220">
            <v>0</v>
          </cell>
          <cell r="M220">
            <v>1404.4629109754601</v>
          </cell>
          <cell r="N220">
            <v>0.75045200000000001</v>
          </cell>
          <cell r="O220">
            <v>1.2495879999999999</v>
          </cell>
        </row>
        <row r="221">
          <cell r="B221" t="str">
            <v>OAS2_0103_MR2</v>
          </cell>
          <cell r="C221" t="str">
            <v>Converted</v>
          </cell>
          <cell r="D221" t="str">
            <v>2</v>
          </cell>
          <cell r="E221">
            <v>1554</v>
          </cell>
          <cell r="F221" t="str">
            <v>F</v>
          </cell>
          <cell r="G221" t="str">
            <v>R</v>
          </cell>
          <cell r="H221">
            <v>74</v>
          </cell>
          <cell r="I221">
            <v>16</v>
          </cell>
          <cell r="J221">
            <v>1</v>
          </cell>
          <cell r="K221">
            <v>30</v>
          </cell>
          <cell r="L221">
            <v>0.5</v>
          </cell>
          <cell r="M221">
            <v>1423.47426674853</v>
          </cell>
          <cell r="N221">
            <v>0.721827</v>
          </cell>
          <cell r="O221">
            <v>1.232899</v>
          </cell>
        </row>
        <row r="222">
          <cell r="B222" t="str">
            <v>OAS2_0103_MR3</v>
          </cell>
          <cell r="C222" t="str">
            <v>Converted</v>
          </cell>
          <cell r="D222" t="str">
            <v>3</v>
          </cell>
          <cell r="E222">
            <v>2002</v>
          </cell>
          <cell r="F222" t="str">
            <v>F</v>
          </cell>
          <cell r="G222" t="str">
            <v>R</v>
          </cell>
          <cell r="H222">
            <v>75</v>
          </cell>
          <cell r="I222">
            <v>16</v>
          </cell>
          <cell r="J222">
            <v>1</v>
          </cell>
          <cell r="K222">
            <v>30</v>
          </cell>
          <cell r="L222">
            <v>0.5</v>
          </cell>
          <cell r="M222">
            <v>1419.3815540246501</v>
          </cell>
          <cell r="N222">
            <v>0.73102</v>
          </cell>
          <cell r="O222">
            <v>1.2364539999999999</v>
          </cell>
        </row>
        <row r="223">
          <cell r="B223" t="str">
            <v>OAS2_0104_MR1</v>
          </cell>
          <cell r="C223" t="str">
            <v>Demented</v>
          </cell>
          <cell r="D223" t="str">
            <v>1</v>
          </cell>
          <cell r="E223">
            <v>0</v>
          </cell>
          <cell r="F223" t="str">
            <v>M</v>
          </cell>
          <cell r="G223" t="str">
            <v>R</v>
          </cell>
          <cell r="H223">
            <v>70</v>
          </cell>
          <cell r="I223">
            <v>16</v>
          </cell>
          <cell r="J223">
            <v>1</v>
          </cell>
          <cell r="K223">
            <v>25</v>
          </cell>
          <cell r="L223">
            <v>0.5</v>
          </cell>
          <cell r="M223">
            <v>1568.38</v>
          </cell>
          <cell r="N223">
            <v>0.69576000000000005</v>
          </cell>
          <cell r="O223">
            <v>1.1189899999999999</v>
          </cell>
        </row>
        <row r="224">
          <cell r="B224" t="str">
            <v>OAS2_0104_MR2</v>
          </cell>
          <cell r="C224" t="str">
            <v>Demented</v>
          </cell>
          <cell r="D224" t="str">
            <v>2</v>
          </cell>
          <cell r="E224">
            <v>465</v>
          </cell>
          <cell r="F224" t="str">
            <v>M</v>
          </cell>
          <cell r="G224" t="str">
            <v>R</v>
          </cell>
          <cell r="H224">
            <v>71</v>
          </cell>
          <cell r="I224">
            <v>16</v>
          </cell>
          <cell r="J224">
            <v>1</v>
          </cell>
          <cell r="K224">
            <v>17</v>
          </cell>
          <cell r="L224">
            <v>1</v>
          </cell>
          <cell r="M224">
            <v>1562.23</v>
          </cell>
          <cell r="N224">
            <v>0.68547599999999997</v>
          </cell>
          <cell r="O224">
            <v>1.1233900000000001</v>
          </cell>
        </row>
        <row r="225">
          <cell r="B225" t="str">
            <v>OAS2_0105_MR1</v>
          </cell>
          <cell r="C225" t="str">
            <v>Nondemented</v>
          </cell>
          <cell r="D225" t="str">
            <v>1</v>
          </cell>
          <cell r="E225">
            <v>0</v>
          </cell>
          <cell r="F225" t="str">
            <v>M</v>
          </cell>
          <cell r="G225" t="str">
            <v>R</v>
          </cell>
          <cell r="H225">
            <v>86</v>
          </cell>
          <cell r="I225">
            <v>12</v>
          </cell>
          <cell r="J225">
            <v>4</v>
          </cell>
          <cell r="K225">
            <v>29</v>
          </cell>
          <cell r="L225">
            <v>0</v>
          </cell>
          <cell r="M225">
            <v>1783.44</v>
          </cell>
          <cell r="N225">
            <v>0.703241</v>
          </cell>
          <cell r="O225">
            <v>0.98405600000000004</v>
          </cell>
        </row>
        <row r="226">
          <cell r="B226" t="str">
            <v>OAS2_0105_MR2</v>
          </cell>
          <cell r="C226" t="str">
            <v>Nondemented</v>
          </cell>
          <cell r="D226" t="str">
            <v>2</v>
          </cell>
          <cell r="E226">
            <v>675</v>
          </cell>
          <cell r="F226" t="str">
            <v>M</v>
          </cell>
          <cell r="G226" t="str">
            <v>R</v>
          </cell>
          <cell r="H226">
            <v>87</v>
          </cell>
          <cell r="I226">
            <v>12</v>
          </cell>
          <cell r="J226">
            <v>4</v>
          </cell>
          <cell r="K226">
            <v>30</v>
          </cell>
          <cell r="L226">
            <v>0</v>
          </cell>
          <cell r="M226">
            <v>1761.74</v>
          </cell>
          <cell r="N226">
            <v>0.71788399999999997</v>
          </cell>
          <cell r="O226">
            <v>0.99617299999999998</v>
          </cell>
        </row>
        <row r="227">
          <cell r="B227" t="str">
            <v>OAS2_0106_MR1</v>
          </cell>
          <cell r="C227" t="str">
            <v>Demented</v>
          </cell>
          <cell r="D227" t="str">
            <v>1</v>
          </cell>
          <cell r="E227">
            <v>0</v>
          </cell>
          <cell r="F227" t="str">
            <v>F</v>
          </cell>
          <cell r="G227" t="str">
            <v>R</v>
          </cell>
          <cell r="H227">
            <v>70</v>
          </cell>
          <cell r="I227">
            <v>11</v>
          </cell>
          <cell r="J227">
            <v>4</v>
          </cell>
          <cell r="K227">
            <v>22</v>
          </cell>
          <cell r="L227">
            <v>1</v>
          </cell>
          <cell r="M227">
            <v>1445.16</v>
          </cell>
          <cell r="N227">
            <v>0.72203799999999996</v>
          </cell>
          <cell r="O227">
            <v>1.2143999999999999</v>
          </cell>
        </row>
        <row r="228">
          <cell r="B228" t="str">
            <v>OAS2_0106_MR2</v>
          </cell>
          <cell r="C228" t="str">
            <v>Demented</v>
          </cell>
          <cell r="D228" t="str">
            <v>2</v>
          </cell>
          <cell r="E228">
            <v>729</v>
          </cell>
          <cell r="F228" t="str">
            <v>F</v>
          </cell>
          <cell r="G228" t="str">
            <v>R</v>
          </cell>
          <cell r="H228">
            <v>72</v>
          </cell>
          <cell r="I228">
            <v>11</v>
          </cell>
          <cell r="J228">
            <v>4</v>
          </cell>
          <cell r="K228">
            <v>21</v>
          </cell>
          <cell r="L228">
            <v>1</v>
          </cell>
          <cell r="M228">
            <v>1489.19</v>
          </cell>
          <cell r="N228">
            <v>0.68597900000000001</v>
          </cell>
          <cell r="O228">
            <v>1.1785000000000001</v>
          </cell>
        </row>
        <row r="229">
          <cell r="B229" t="str">
            <v>OAS2_0108_MR1</v>
          </cell>
          <cell r="C229" t="str">
            <v>Demented</v>
          </cell>
          <cell r="D229" t="str">
            <v>1</v>
          </cell>
          <cell r="E229">
            <v>0</v>
          </cell>
          <cell r="F229" t="str">
            <v>M</v>
          </cell>
          <cell r="G229" t="str">
            <v>R</v>
          </cell>
          <cell r="H229">
            <v>77</v>
          </cell>
          <cell r="I229">
            <v>18</v>
          </cell>
          <cell r="J229">
            <v>1</v>
          </cell>
          <cell r="K229">
            <v>25</v>
          </cell>
          <cell r="L229">
            <v>0.5</v>
          </cell>
          <cell r="M229">
            <v>1604.47</v>
          </cell>
          <cell r="N229">
            <v>0.78134999999999999</v>
          </cell>
          <cell r="O229">
            <v>1.09382</v>
          </cell>
        </row>
        <row r="230">
          <cell r="B230" t="str">
            <v>OAS2_0108_MR2</v>
          </cell>
          <cell r="C230" t="str">
            <v>Demented</v>
          </cell>
          <cell r="D230" t="str">
            <v>2</v>
          </cell>
          <cell r="E230">
            <v>883</v>
          </cell>
          <cell r="F230" t="str">
            <v>M</v>
          </cell>
          <cell r="G230" t="str">
            <v>R</v>
          </cell>
          <cell r="H230">
            <v>79</v>
          </cell>
          <cell r="I230">
            <v>18</v>
          </cell>
          <cell r="J230">
            <v>1</v>
          </cell>
          <cell r="K230">
            <v>27</v>
          </cell>
          <cell r="L230">
            <v>0.5</v>
          </cell>
          <cell r="M230">
            <v>1569.4979037589301</v>
          </cell>
          <cell r="N230">
            <v>0.781053</v>
          </cell>
          <cell r="O230">
            <v>1.1181920000000001</v>
          </cell>
        </row>
        <row r="231">
          <cell r="B231" t="str">
            <v>OAS2_0109_MR1</v>
          </cell>
          <cell r="C231" t="str">
            <v>Nondemented</v>
          </cell>
          <cell r="D231" t="str">
            <v>1</v>
          </cell>
          <cell r="E231">
            <v>0</v>
          </cell>
          <cell r="F231" t="str">
            <v>M</v>
          </cell>
          <cell r="G231" t="str">
            <v>R</v>
          </cell>
          <cell r="H231">
            <v>81</v>
          </cell>
          <cell r="I231">
            <v>11</v>
          </cell>
          <cell r="J231">
            <v>4</v>
          </cell>
          <cell r="K231">
            <v>28</v>
          </cell>
          <cell r="L231">
            <v>0</v>
          </cell>
          <cell r="M231">
            <v>1749.92</v>
          </cell>
          <cell r="N231">
            <v>0.66966300000000001</v>
          </cell>
          <cell r="O231">
            <v>1.00291</v>
          </cell>
        </row>
        <row r="232">
          <cell r="B232" t="str">
            <v>OAS2_0109_MR2</v>
          </cell>
          <cell r="C232" t="str">
            <v>Nondemented</v>
          </cell>
          <cell r="D232" t="str">
            <v>2</v>
          </cell>
          <cell r="E232">
            <v>766</v>
          </cell>
          <cell r="F232" t="str">
            <v>M</v>
          </cell>
          <cell r="G232" t="str">
            <v>R</v>
          </cell>
          <cell r="H232">
            <v>83</v>
          </cell>
          <cell r="I232">
            <v>11</v>
          </cell>
          <cell r="J232">
            <v>4</v>
          </cell>
          <cell r="K232">
            <v>29</v>
          </cell>
          <cell r="L232">
            <v>0</v>
          </cell>
          <cell r="M232">
            <v>1744.0751134891</v>
          </cell>
          <cell r="N232">
            <v>0.67022899999999996</v>
          </cell>
          <cell r="O232">
            <v>1.006264</v>
          </cell>
        </row>
        <row r="233">
          <cell r="B233" t="str">
            <v>OAS2_0111_MR1</v>
          </cell>
          <cell r="C233" t="str">
            <v>Demented</v>
          </cell>
          <cell r="D233" t="str">
            <v>1</v>
          </cell>
          <cell r="E233">
            <v>0</v>
          </cell>
          <cell r="F233" t="str">
            <v>M</v>
          </cell>
          <cell r="G233" t="str">
            <v>R</v>
          </cell>
          <cell r="H233">
            <v>62</v>
          </cell>
          <cell r="I233">
            <v>12</v>
          </cell>
          <cell r="J233">
            <v>4</v>
          </cell>
          <cell r="K233">
            <v>17</v>
          </cell>
          <cell r="L233">
            <v>0.5</v>
          </cell>
          <cell r="M233">
            <v>1525.34</v>
          </cell>
          <cell r="N233">
            <v>0.73224999999999996</v>
          </cell>
          <cell r="O233">
            <v>1.15056</v>
          </cell>
        </row>
        <row r="234">
          <cell r="B234" t="str">
            <v>OAS2_0111_MR2</v>
          </cell>
          <cell r="C234" t="str">
            <v>Demented</v>
          </cell>
          <cell r="D234" t="str">
            <v>2</v>
          </cell>
          <cell r="E234">
            <v>881</v>
          </cell>
          <cell r="F234" t="str">
            <v>M</v>
          </cell>
          <cell r="G234" t="str">
            <v>R</v>
          </cell>
          <cell r="H234">
            <v>65</v>
          </cell>
          <cell r="I234">
            <v>12</v>
          </cell>
          <cell r="J234">
            <v>4</v>
          </cell>
          <cell r="K234">
            <v>17</v>
          </cell>
          <cell r="L234">
            <v>0.5</v>
          </cell>
          <cell r="M234">
            <v>1519.96</v>
          </cell>
          <cell r="N234">
            <v>0.69861700000000004</v>
          </cell>
          <cell r="O234">
            <v>1.1546400000000001</v>
          </cell>
        </row>
        <row r="235">
          <cell r="B235" t="str">
            <v>OAS2_0112_MR1</v>
          </cell>
          <cell r="C235" t="str">
            <v>Demented</v>
          </cell>
          <cell r="D235" t="str">
            <v>1</v>
          </cell>
          <cell r="E235">
            <v>0</v>
          </cell>
          <cell r="F235" t="str">
            <v>F</v>
          </cell>
          <cell r="G235" t="str">
            <v>R</v>
          </cell>
          <cell r="H235">
            <v>76</v>
          </cell>
          <cell r="I235">
            <v>12</v>
          </cell>
          <cell r="J235">
            <v>3</v>
          </cell>
          <cell r="K235">
            <v>27</v>
          </cell>
          <cell r="L235">
            <v>0.5</v>
          </cell>
          <cell r="M235">
            <v>1315.05</v>
          </cell>
          <cell r="N235">
            <v>0.697905</v>
          </cell>
          <cell r="O235">
            <v>1.3345499999999999</v>
          </cell>
        </row>
        <row r="236">
          <cell r="B236" t="str">
            <v>OAS2_0112_MR2</v>
          </cell>
          <cell r="C236" t="str">
            <v>Demented</v>
          </cell>
          <cell r="D236" t="str">
            <v>2</v>
          </cell>
          <cell r="E236">
            <v>558</v>
          </cell>
          <cell r="F236" t="str">
            <v>F</v>
          </cell>
          <cell r="G236" t="str">
            <v>R</v>
          </cell>
          <cell r="H236">
            <v>78</v>
          </cell>
          <cell r="I236">
            <v>12</v>
          </cell>
          <cell r="J236">
            <v>3</v>
          </cell>
          <cell r="K236">
            <v>20</v>
          </cell>
          <cell r="L236">
            <v>0.5</v>
          </cell>
          <cell r="M236">
            <v>1338.89</v>
          </cell>
          <cell r="N236">
            <v>0.68894299999999997</v>
          </cell>
          <cell r="O236">
            <v>1.3107899999999999</v>
          </cell>
        </row>
        <row r="237">
          <cell r="B237" t="str">
            <v>OAS2_0113_MR1</v>
          </cell>
          <cell r="C237" t="str">
            <v>Demented</v>
          </cell>
          <cell r="D237" t="str">
            <v>1</v>
          </cell>
          <cell r="E237">
            <v>0</v>
          </cell>
          <cell r="F237" t="str">
            <v>F</v>
          </cell>
          <cell r="G237" t="str">
            <v>R</v>
          </cell>
          <cell r="H237">
            <v>73</v>
          </cell>
          <cell r="I237">
            <v>13</v>
          </cell>
          <cell r="J237">
            <v>2</v>
          </cell>
          <cell r="K237">
            <v>23</v>
          </cell>
          <cell r="L237">
            <v>0.5</v>
          </cell>
          <cell r="M237">
            <v>1536.1749506323299</v>
          </cell>
          <cell r="N237">
            <v>0.72517699999999996</v>
          </cell>
          <cell r="O237">
            <v>1.1424479999999999</v>
          </cell>
        </row>
        <row r="238">
          <cell r="B238" t="str">
            <v>OAS2_0113_MR2</v>
          </cell>
          <cell r="C238" t="str">
            <v>Demented</v>
          </cell>
          <cell r="D238" t="str">
            <v>2</v>
          </cell>
          <cell r="E238">
            <v>504</v>
          </cell>
          <cell r="F238" t="str">
            <v>F</v>
          </cell>
          <cell r="G238" t="str">
            <v>R</v>
          </cell>
          <cell r="H238">
            <v>75</v>
          </cell>
          <cell r="I238">
            <v>13</v>
          </cell>
          <cell r="J238">
            <v>2</v>
          </cell>
          <cell r="K238">
            <v>28</v>
          </cell>
          <cell r="L238">
            <v>0.5</v>
          </cell>
          <cell r="M238">
            <v>1519.73973049949</v>
          </cell>
          <cell r="N238">
            <v>0.70833100000000004</v>
          </cell>
          <cell r="O238">
            <v>1.154803</v>
          </cell>
        </row>
        <row r="239">
          <cell r="B239" t="str">
            <v>OAS2_0114_MR1</v>
          </cell>
          <cell r="C239" t="str">
            <v>Demented</v>
          </cell>
          <cell r="D239" t="str">
            <v>1</v>
          </cell>
          <cell r="E239">
            <v>0</v>
          </cell>
          <cell r="F239" t="str">
            <v>F</v>
          </cell>
          <cell r="G239" t="str">
            <v>R</v>
          </cell>
          <cell r="H239">
            <v>76</v>
          </cell>
          <cell r="I239">
            <v>12</v>
          </cell>
          <cell r="K239">
            <v>27</v>
          </cell>
          <cell r="L239">
            <v>0.5</v>
          </cell>
          <cell r="M239">
            <v>1316.37</v>
          </cell>
          <cell r="N239">
            <v>0.72685</v>
          </cell>
          <cell r="O239">
            <v>1.33321</v>
          </cell>
        </row>
        <row r="240">
          <cell r="B240" t="str">
            <v>OAS2_0114_MR2</v>
          </cell>
          <cell r="C240" t="str">
            <v>Demented</v>
          </cell>
          <cell r="D240" t="str">
            <v>2</v>
          </cell>
          <cell r="E240">
            <v>570</v>
          </cell>
          <cell r="F240" t="str">
            <v>F</v>
          </cell>
          <cell r="G240" t="str">
            <v>R</v>
          </cell>
          <cell r="H240">
            <v>78</v>
          </cell>
          <cell r="I240">
            <v>12</v>
          </cell>
          <cell r="K240">
            <v>27</v>
          </cell>
          <cell r="L240">
            <v>1</v>
          </cell>
          <cell r="M240">
            <v>1309.1500000000001</v>
          </cell>
          <cell r="N240">
            <v>0.70857199999999998</v>
          </cell>
          <cell r="O240">
            <v>1.34056</v>
          </cell>
        </row>
        <row r="241">
          <cell r="B241" t="str">
            <v>OAS2_0116_MR1</v>
          </cell>
          <cell r="C241" t="str">
            <v>Demented</v>
          </cell>
          <cell r="D241" t="str">
            <v>1</v>
          </cell>
          <cell r="E241">
            <v>0</v>
          </cell>
          <cell r="F241" t="str">
            <v>F</v>
          </cell>
          <cell r="G241" t="str">
            <v>R</v>
          </cell>
          <cell r="H241">
            <v>73</v>
          </cell>
          <cell r="I241">
            <v>12</v>
          </cell>
          <cell r="J241">
            <v>3</v>
          </cell>
          <cell r="K241">
            <v>27</v>
          </cell>
          <cell r="L241">
            <v>0.5</v>
          </cell>
          <cell r="M241">
            <v>1425.08</v>
          </cell>
          <cell r="N241">
            <v>0.76865600000000001</v>
          </cell>
          <cell r="O241">
            <v>1.2315100000000001</v>
          </cell>
        </row>
        <row r="242">
          <cell r="B242" t="str">
            <v>OAS2_0116_MR2</v>
          </cell>
          <cell r="C242" t="str">
            <v>Demented</v>
          </cell>
          <cell r="D242" t="str">
            <v>2</v>
          </cell>
          <cell r="E242">
            <v>616</v>
          </cell>
          <cell r="F242" t="str">
            <v>F</v>
          </cell>
          <cell r="G242" t="str">
            <v>R</v>
          </cell>
          <cell r="H242">
            <v>75</v>
          </cell>
          <cell r="I242">
            <v>12</v>
          </cell>
          <cell r="J242">
            <v>3</v>
          </cell>
          <cell r="K242">
            <v>28</v>
          </cell>
          <cell r="L242">
            <v>0.5</v>
          </cell>
          <cell r="M242">
            <v>1407.32</v>
          </cell>
          <cell r="N242">
            <v>0.76969500000000002</v>
          </cell>
          <cell r="O242">
            <v>1.24705</v>
          </cell>
        </row>
        <row r="243">
          <cell r="B243" t="str">
            <v>OAS2_0117_MR1</v>
          </cell>
          <cell r="C243" t="str">
            <v>Nondemented</v>
          </cell>
          <cell r="D243" t="str">
            <v>1</v>
          </cell>
          <cell r="E243">
            <v>0</v>
          </cell>
          <cell r="F243" t="str">
            <v>M</v>
          </cell>
          <cell r="G243" t="str">
            <v>R</v>
          </cell>
          <cell r="H243">
            <v>73</v>
          </cell>
          <cell r="I243">
            <v>20</v>
          </cell>
          <cell r="J243">
            <v>2</v>
          </cell>
          <cell r="K243">
            <v>30</v>
          </cell>
          <cell r="L243">
            <v>0</v>
          </cell>
          <cell r="M243">
            <v>1842.33</v>
          </cell>
          <cell r="N243">
            <v>0.75821300000000003</v>
          </cell>
          <cell r="O243">
            <v>0.95259700000000003</v>
          </cell>
        </row>
        <row r="244">
          <cell r="B244" t="str">
            <v>OAS2_0117_MR2</v>
          </cell>
          <cell r="C244" t="str">
            <v>Nondemented</v>
          </cell>
          <cell r="D244" t="str">
            <v>2</v>
          </cell>
          <cell r="E244">
            <v>576</v>
          </cell>
          <cell r="F244" t="str">
            <v>M</v>
          </cell>
          <cell r="G244" t="str">
            <v>R</v>
          </cell>
          <cell r="H244">
            <v>74</v>
          </cell>
          <cell r="I244">
            <v>20</v>
          </cell>
          <cell r="J244">
            <v>2</v>
          </cell>
          <cell r="K244">
            <v>30</v>
          </cell>
          <cell r="L244">
            <v>0</v>
          </cell>
          <cell r="M244">
            <v>1805.69</v>
          </cell>
          <cell r="N244">
            <v>0.75932599999999995</v>
          </cell>
          <cell r="O244">
            <v>0.97192500000000004</v>
          </cell>
        </row>
        <row r="245">
          <cell r="B245" t="str">
            <v>OAS2_0117_MR3</v>
          </cell>
          <cell r="C245" t="str">
            <v>Nondemented</v>
          </cell>
          <cell r="D245" t="str">
            <v>3</v>
          </cell>
          <cell r="E245">
            <v>1345</v>
          </cell>
          <cell r="F245" t="str">
            <v>M</v>
          </cell>
          <cell r="G245" t="str">
            <v>R</v>
          </cell>
          <cell r="H245">
            <v>76</v>
          </cell>
          <cell r="I245">
            <v>20</v>
          </cell>
          <cell r="J245">
            <v>2</v>
          </cell>
          <cell r="K245">
            <v>30</v>
          </cell>
          <cell r="L245">
            <v>0</v>
          </cell>
          <cell r="M245">
            <v>1823.18909535539</v>
          </cell>
          <cell r="N245">
            <v>0.73899099999999995</v>
          </cell>
          <cell r="O245">
            <v>0.96259899999999998</v>
          </cell>
        </row>
        <row r="246">
          <cell r="B246" t="str">
            <v>OAS2_0117_MR4</v>
          </cell>
          <cell r="C246" t="str">
            <v>Nondemented</v>
          </cell>
          <cell r="D246" t="str">
            <v>4</v>
          </cell>
          <cell r="E246">
            <v>1927</v>
          </cell>
          <cell r="F246" t="str">
            <v>M</v>
          </cell>
          <cell r="G246" t="str">
            <v>R</v>
          </cell>
          <cell r="H246">
            <v>78</v>
          </cell>
          <cell r="I246">
            <v>20</v>
          </cell>
          <cell r="J246">
            <v>2</v>
          </cell>
          <cell r="K246">
            <v>29</v>
          </cell>
          <cell r="L246">
            <v>0</v>
          </cell>
          <cell r="M246">
            <v>1825.5388200049899</v>
          </cell>
          <cell r="N246">
            <v>0.73374399999999995</v>
          </cell>
          <cell r="O246">
            <v>0.96135999999999999</v>
          </cell>
        </row>
        <row r="247">
          <cell r="B247" t="str">
            <v>OAS2_0118_MR1</v>
          </cell>
          <cell r="C247" t="str">
            <v>Converted</v>
          </cell>
          <cell r="D247" t="str">
            <v>1</v>
          </cell>
          <cell r="E247">
            <v>0</v>
          </cell>
          <cell r="F247" t="str">
            <v>F</v>
          </cell>
          <cell r="G247" t="str">
            <v>R</v>
          </cell>
          <cell r="H247">
            <v>67</v>
          </cell>
          <cell r="I247">
            <v>14</v>
          </cell>
          <cell r="J247">
            <v>4</v>
          </cell>
          <cell r="K247">
            <v>30</v>
          </cell>
          <cell r="L247">
            <v>0</v>
          </cell>
          <cell r="M247">
            <v>1508.12</v>
          </cell>
          <cell r="N247">
            <v>0.79425500000000004</v>
          </cell>
          <cell r="O247">
            <v>1.1637</v>
          </cell>
        </row>
        <row r="248">
          <cell r="B248" t="str">
            <v>OAS2_0118_MR2</v>
          </cell>
          <cell r="C248" t="str">
            <v>Converted</v>
          </cell>
          <cell r="D248" t="str">
            <v>2</v>
          </cell>
          <cell r="E248">
            <v>1422</v>
          </cell>
          <cell r="F248" t="str">
            <v>F</v>
          </cell>
          <cell r="G248" t="str">
            <v>R</v>
          </cell>
          <cell r="H248">
            <v>71</v>
          </cell>
          <cell r="I248">
            <v>14</v>
          </cell>
          <cell r="J248">
            <v>4</v>
          </cell>
          <cell r="K248">
            <v>26</v>
          </cell>
          <cell r="L248">
            <v>0.5</v>
          </cell>
          <cell r="M248">
            <v>1529.43309013459</v>
          </cell>
          <cell r="N248">
            <v>0.78784299999999996</v>
          </cell>
          <cell r="O248">
            <v>1.1474839999999999</v>
          </cell>
        </row>
        <row r="249">
          <cell r="B249" t="str">
            <v>OAS2_0119_MR1</v>
          </cell>
          <cell r="C249" t="str">
            <v>Nondemented</v>
          </cell>
          <cell r="D249" t="str">
            <v>1</v>
          </cell>
          <cell r="E249">
            <v>0</v>
          </cell>
          <cell r="F249" t="str">
            <v>F</v>
          </cell>
          <cell r="G249" t="str">
            <v>R</v>
          </cell>
          <cell r="H249">
            <v>81</v>
          </cell>
          <cell r="I249">
            <v>15</v>
          </cell>
          <cell r="J249">
            <v>2</v>
          </cell>
          <cell r="K249">
            <v>28</v>
          </cell>
          <cell r="L249">
            <v>0</v>
          </cell>
          <cell r="M249">
            <v>1486.07</v>
          </cell>
          <cell r="N249">
            <v>0.75391699999999995</v>
          </cell>
          <cell r="O249">
            <v>1.18096</v>
          </cell>
        </row>
        <row r="250">
          <cell r="B250" t="str">
            <v>OAS2_0119_MR2</v>
          </cell>
          <cell r="C250" t="str">
            <v>Nondemented</v>
          </cell>
          <cell r="D250" t="str">
            <v>2</v>
          </cell>
          <cell r="E250">
            <v>733</v>
          </cell>
          <cell r="F250" t="str">
            <v>F</v>
          </cell>
          <cell r="G250" t="str">
            <v>R</v>
          </cell>
          <cell r="H250">
            <v>83</v>
          </cell>
          <cell r="I250">
            <v>15</v>
          </cell>
          <cell r="J250">
            <v>2</v>
          </cell>
          <cell r="K250">
            <v>29</v>
          </cell>
          <cell r="L250">
            <v>0</v>
          </cell>
          <cell r="M250">
            <v>1482.38</v>
          </cell>
          <cell r="N250">
            <v>0.75104499999999996</v>
          </cell>
          <cell r="O250">
            <v>1.1839</v>
          </cell>
        </row>
        <row r="251">
          <cell r="B251" t="str">
            <v>OAS2_0119_MR3</v>
          </cell>
          <cell r="C251" t="str">
            <v>Nondemented</v>
          </cell>
          <cell r="D251" t="str">
            <v>3</v>
          </cell>
          <cell r="E251">
            <v>1713</v>
          </cell>
          <cell r="F251" t="str">
            <v>F</v>
          </cell>
          <cell r="G251" t="str">
            <v>R</v>
          </cell>
          <cell r="H251">
            <v>85</v>
          </cell>
          <cell r="I251">
            <v>15</v>
          </cell>
          <cell r="J251">
            <v>2</v>
          </cell>
          <cell r="K251">
            <v>30</v>
          </cell>
          <cell r="L251">
            <v>0</v>
          </cell>
          <cell r="M251">
            <v>1487.6461792499199</v>
          </cell>
          <cell r="N251">
            <v>0.74051299999999998</v>
          </cell>
          <cell r="O251">
            <v>1.179716</v>
          </cell>
        </row>
        <row r="252">
          <cell r="B252" t="str">
            <v>OAS2_0120_MR1</v>
          </cell>
          <cell r="C252" t="str">
            <v>Demented</v>
          </cell>
          <cell r="D252" t="str">
            <v>1</v>
          </cell>
          <cell r="E252">
            <v>0</v>
          </cell>
          <cell r="F252" t="str">
            <v>F</v>
          </cell>
          <cell r="G252" t="str">
            <v>R</v>
          </cell>
          <cell r="H252">
            <v>76</v>
          </cell>
          <cell r="I252">
            <v>14</v>
          </cell>
          <cell r="J252">
            <v>3</v>
          </cell>
          <cell r="K252">
            <v>25</v>
          </cell>
          <cell r="L252">
            <v>1</v>
          </cell>
          <cell r="M252">
            <v>1408.58</v>
          </cell>
          <cell r="N252">
            <v>0.71459600000000001</v>
          </cell>
          <cell r="O252">
            <v>1.24594</v>
          </cell>
        </row>
        <row r="253">
          <cell r="B253" t="str">
            <v>OAS2_0120_MR2</v>
          </cell>
          <cell r="C253" t="str">
            <v>Demented</v>
          </cell>
          <cell r="D253" t="str">
            <v>2</v>
          </cell>
          <cell r="E253">
            <v>595</v>
          </cell>
          <cell r="F253" t="str">
            <v>F</v>
          </cell>
          <cell r="G253" t="str">
            <v>R</v>
          </cell>
          <cell r="H253">
            <v>78</v>
          </cell>
          <cell r="I253">
            <v>14</v>
          </cell>
          <cell r="J253">
            <v>3</v>
          </cell>
          <cell r="K253">
            <v>15</v>
          </cell>
          <cell r="L253">
            <v>2</v>
          </cell>
          <cell r="M253">
            <v>1401.13</v>
          </cell>
          <cell r="N253">
            <v>0.70016500000000004</v>
          </cell>
          <cell r="O253">
            <v>1.2525599999999999</v>
          </cell>
        </row>
        <row r="254">
          <cell r="B254" t="str">
            <v>OAS2_0121_MR1</v>
          </cell>
          <cell r="C254" t="str">
            <v>Nondemented</v>
          </cell>
          <cell r="D254" t="str">
            <v>1</v>
          </cell>
          <cell r="E254">
            <v>0</v>
          </cell>
          <cell r="F254" t="str">
            <v>F</v>
          </cell>
          <cell r="G254" t="str">
            <v>R</v>
          </cell>
          <cell r="H254">
            <v>73</v>
          </cell>
          <cell r="I254">
            <v>11</v>
          </cell>
          <cell r="J254">
            <v>4</v>
          </cell>
          <cell r="K254">
            <v>30</v>
          </cell>
          <cell r="L254">
            <v>0</v>
          </cell>
          <cell r="M254">
            <v>1475.33</v>
          </cell>
          <cell r="N254">
            <v>0.72554600000000002</v>
          </cell>
          <cell r="O254">
            <v>1.18956</v>
          </cell>
        </row>
        <row r="255">
          <cell r="B255" t="str">
            <v>OAS2_0121_MR2</v>
          </cell>
          <cell r="C255" t="str">
            <v>Nondemented</v>
          </cell>
          <cell r="D255" t="str">
            <v>2</v>
          </cell>
          <cell r="E255">
            <v>647</v>
          </cell>
          <cell r="F255" t="str">
            <v>F</v>
          </cell>
          <cell r="G255" t="str">
            <v>R</v>
          </cell>
          <cell r="H255">
            <v>74</v>
          </cell>
          <cell r="I255">
            <v>11</v>
          </cell>
          <cell r="J255">
            <v>4</v>
          </cell>
          <cell r="K255">
            <v>30</v>
          </cell>
          <cell r="L255">
            <v>0</v>
          </cell>
          <cell r="M255">
            <v>1517.3</v>
          </cell>
          <cell r="N255">
            <v>0.70454600000000001</v>
          </cell>
          <cell r="O255">
            <v>1.15666</v>
          </cell>
        </row>
        <row r="256">
          <cell r="B256" t="str">
            <v>OAS2_0122_MR1</v>
          </cell>
          <cell r="C256" t="str">
            <v>Nondemented</v>
          </cell>
          <cell r="D256" t="str">
            <v>1</v>
          </cell>
          <cell r="E256">
            <v>0</v>
          </cell>
          <cell r="F256" t="str">
            <v>F</v>
          </cell>
          <cell r="G256" t="str">
            <v>R</v>
          </cell>
          <cell r="H256">
            <v>86</v>
          </cell>
          <cell r="I256">
            <v>16</v>
          </cell>
          <cell r="J256">
            <v>3</v>
          </cell>
          <cell r="K256">
            <v>30</v>
          </cell>
          <cell r="L256">
            <v>0</v>
          </cell>
          <cell r="M256">
            <v>1293.1099999999999</v>
          </cell>
          <cell r="N256">
            <v>0.746591</v>
          </cell>
          <cell r="O256">
            <v>1.3571899999999999</v>
          </cell>
        </row>
        <row r="257">
          <cell r="B257" t="str">
            <v>OAS2_0122_MR2</v>
          </cell>
          <cell r="C257" t="str">
            <v>Nondemented</v>
          </cell>
          <cell r="D257" t="str">
            <v>2</v>
          </cell>
          <cell r="E257">
            <v>597</v>
          </cell>
          <cell r="F257" t="str">
            <v>F</v>
          </cell>
          <cell r="G257" t="str">
            <v>R</v>
          </cell>
          <cell r="H257">
            <v>88</v>
          </cell>
          <cell r="I257">
            <v>16</v>
          </cell>
          <cell r="J257">
            <v>3</v>
          </cell>
          <cell r="K257">
            <v>30</v>
          </cell>
          <cell r="L257">
            <v>0</v>
          </cell>
          <cell r="M257">
            <v>1294.81</v>
          </cell>
          <cell r="N257">
            <v>0.74377599999999999</v>
          </cell>
          <cell r="O257">
            <v>1.35541</v>
          </cell>
        </row>
        <row r="258">
          <cell r="B258" t="str">
            <v>OAS2_0124_MR1</v>
          </cell>
          <cell r="C258" t="str">
            <v>Demented</v>
          </cell>
          <cell r="D258" t="str">
            <v>1</v>
          </cell>
          <cell r="E258">
            <v>0</v>
          </cell>
          <cell r="F258" t="str">
            <v>M</v>
          </cell>
          <cell r="G258" t="str">
            <v>R</v>
          </cell>
          <cell r="H258">
            <v>70</v>
          </cell>
          <cell r="I258">
            <v>16</v>
          </cell>
          <cell r="J258">
            <v>3</v>
          </cell>
          <cell r="K258">
            <v>29</v>
          </cell>
          <cell r="L258">
            <v>0.5</v>
          </cell>
          <cell r="M258">
            <v>1462.91</v>
          </cell>
          <cell r="N258">
            <v>0.748865</v>
          </cell>
          <cell r="O258">
            <v>1.1996599999999999</v>
          </cell>
        </row>
        <row r="259">
          <cell r="B259" t="str">
            <v>OAS2_0124_MR2</v>
          </cell>
          <cell r="C259" t="str">
            <v>Demented</v>
          </cell>
          <cell r="D259" t="str">
            <v>2</v>
          </cell>
          <cell r="E259">
            <v>472</v>
          </cell>
          <cell r="F259" t="str">
            <v>M</v>
          </cell>
          <cell r="G259" t="str">
            <v>R</v>
          </cell>
          <cell r="H259">
            <v>71</v>
          </cell>
          <cell r="I259">
            <v>16</v>
          </cell>
          <cell r="J259">
            <v>3</v>
          </cell>
          <cell r="K259">
            <v>27</v>
          </cell>
          <cell r="L259">
            <v>0.5</v>
          </cell>
          <cell r="M259">
            <v>1479.1203827002801</v>
          </cell>
          <cell r="N259">
            <v>0.74955400000000005</v>
          </cell>
          <cell r="O259">
            <v>1.1865159999999999</v>
          </cell>
        </row>
        <row r="260">
          <cell r="B260" t="str">
            <v>OAS2_0126_MR1</v>
          </cell>
          <cell r="C260" t="str">
            <v>Nondemented</v>
          </cell>
          <cell r="D260" t="str">
            <v>1</v>
          </cell>
          <cell r="E260">
            <v>0</v>
          </cell>
          <cell r="F260" t="str">
            <v>F</v>
          </cell>
          <cell r="G260" t="str">
            <v>R</v>
          </cell>
          <cell r="H260">
            <v>74</v>
          </cell>
          <cell r="I260">
            <v>12</v>
          </cell>
          <cell r="J260">
            <v>3</v>
          </cell>
          <cell r="K260">
            <v>29</v>
          </cell>
          <cell r="L260">
            <v>0</v>
          </cell>
          <cell r="M260">
            <v>1343.75</v>
          </cell>
          <cell r="N260">
            <v>0.73870499999999995</v>
          </cell>
          <cell r="O260">
            <v>1.3060400000000001</v>
          </cell>
        </row>
        <row r="261">
          <cell r="B261" t="str">
            <v>OAS2_0126_MR2</v>
          </cell>
          <cell r="C261" t="str">
            <v>Nondemented</v>
          </cell>
          <cell r="D261" t="str">
            <v>2</v>
          </cell>
          <cell r="E261">
            <v>472</v>
          </cell>
          <cell r="F261" t="str">
            <v>F</v>
          </cell>
          <cell r="G261" t="str">
            <v>R</v>
          </cell>
          <cell r="H261">
            <v>75</v>
          </cell>
          <cell r="I261">
            <v>12</v>
          </cell>
          <cell r="J261">
            <v>3</v>
          </cell>
          <cell r="K261">
            <v>29</v>
          </cell>
          <cell r="L261">
            <v>0</v>
          </cell>
          <cell r="M261">
            <v>1337.56</v>
          </cell>
          <cell r="N261">
            <v>0.74704300000000001</v>
          </cell>
          <cell r="O261">
            <v>1.31209</v>
          </cell>
        </row>
        <row r="262">
          <cell r="B262" t="str">
            <v>OAS2_0126_MR3</v>
          </cell>
          <cell r="C262" t="str">
            <v>Nondemented</v>
          </cell>
          <cell r="D262" t="str">
            <v>3</v>
          </cell>
          <cell r="E262">
            <v>1192</v>
          </cell>
          <cell r="F262" t="str">
            <v>F</v>
          </cell>
          <cell r="G262" t="str">
            <v>R</v>
          </cell>
          <cell r="H262">
            <v>77</v>
          </cell>
          <cell r="I262">
            <v>12</v>
          </cell>
          <cell r="J262">
            <v>3</v>
          </cell>
          <cell r="K262">
            <v>29</v>
          </cell>
          <cell r="L262">
            <v>0</v>
          </cell>
          <cell r="M262">
            <v>1343.79</v>
          </cell>
          <cell r="N262">
            <v>0.74032699999999996</v>
          </cell>
          <cell r="O262">
            <v>1.3060099999999999</v>
          </cell>
        </row>
        <row r="263">
          <cell r="B263" t="str">
            <v>OAS2_0127_MR1</v>
          </cell>
          <cell r="C263" t="str">
            <v>Converted</v>
          </cell>
          <cell r="D263" t="str">
            <v>1</v>
          </cell>
          <cell r="E263">
            <v>0</v>
          </cell>
          <cell r="F263" t="str">
            <v>M</v>
          </cell>
          <cell r="G263" t="str">
            <v>R</v>
          </cell>
          <cell r="H263">
            <v>79</v>
          </cell>
          <cell r="I263">
            <v>18</v>
          </cell>
          <cell r="J263">
            <v>1</v>
          </cell>
          <cell r="K263">
            <v>29</v>
          </cell>
          <cell r="L263">
            <v>0</v>
          </cell>
          <cell r="M263">
            <v>1644.41</v>
          </cell>
          <cell r="N263">
            <v>0.72878900000000002</v>
          </cell>
          <cell r="O263">
            <v>1.0672600000000001</v>
          </cell>
        </row>
        <row r="264">
          <cell r="B264" t="str">
            <v>OAS2_0127_MR2</v>
          </cell>
          <cell r="C264" t="str">
            <v>Converted</v>
          </cell>
          <cell r="D264" t="str">
            <v>2</v>
          </cell>
          <cell r="E264">
            <v>851</v>
          </cell>
          <cell r="F264" t="str">
            <v>M</v>
          </cell>
          <cell r="G264" t="str">
            <v>R</v>
          </cell>
          <cell r="H264">
            <v>81</v>
          </cell>
          <cell r="I264">
            <v>18</v>
          </cell>
          <cell r="J264">
            <v>1</v>
          </cell>
          <cell r="K264">
            <v>29</v>
          </cell>
          <cell r="L264">
            <v>0.5</v>
          </cell>
          <cell r="M264">
            <v>1653.82</v>
          </cell>
          <cell r="N264">
            <v>0.71985699999999997</v>
          </cell>
          <cell r="O264">
            <v>1.06118</v>
          </cell>
        </row>
        <row r="265">
          <cell r="B265" t="str">
            <v>OAS2_0127_MR3</v>
          </cell>
          <cell r="C265" t="str">
            <v>Converted</v>
          </cell>
          <cell r="D265" t="str">
            <v>3</v>
          </cell>
          <cell r="E265">
            <v>1042</v>
          </cell>
          <cell r="F265" t="str">
            <v>M</v>
          </cell>
          <cell r="G265" t="str">
            <v>R</v>
          </cell>
          <cell r="H265">
            <v>81</v>
          </cell>
          <cell r="I265">
            <v>18</v>
          </cell>
          <cell r="J265">
            <v>1</v>
          </cell>
          <cell r="K265">
            <v>29</v>
          </cell>
          <cell r="L265">
            <v>0.5</v>
          </cell>
          <cell r="M265">
            <v>1647.01</v>
          </cell>
          <cell r="N265">
            <v>0.71658500000000003</v>
          </cell>
          <cell r="O265">
            <v>1.0655699999999999</v>
          </cell>
        </row>
        <row r="266">
          <cell r="B266" t="str">
            <v>OAS2_0127_MR4</v>
          </cell>
          <cell r="C266" t="str">
            <v>Converted</v>
          </cell>
          <cell r="D266" t="str">
            <v>4</v>
          </cell>
          <cell r="E266">
            <v>2153</v>
          </cell>
          <cell r="F266" t="str">
            <v>M</v>
          </cell>
          <cell r="G266" t="str">
            <v>R</v>
          </cell>
          <cell r="H266">
            <v>84</v>
          </cell>
          <cell r="I266">
            <v>18</v>
          </cell>
          <cell r="J266">
            <v>1</v>
          </cell>
          <cell r="K266">
            <v>29</v>
          </cell>
          <cell r="L266">
            <v>0.5</v>
          </cell>
          <cell r="M266">
            <v>1668.10348514818</v>
          </cell>
          <cell r="N266">
            <v>0.69434600000000002</v>
          </cell>
          <cell r="O266">
            <v>1.0520929999999999</v>
          </cell>
        </row>
        <row r="267">
          <cell r="B267" t="str">
            <v>OAS2_0127_MR5</v>
          </cell>
          <cell r="C267" t="str">
            <v>Converted</v>
          </cell>
          <cell r="D267" t="str">
            <v>5</v>
          </cell>
          <cell r="E267">
            <v>2639</v>
          </cell>
          <cell r="F267" t="str">
            <v>M</v>
          </cell>
          <cell r="G267" t="str">
            <v>R</v>
          </cell>
          <cell r="H267">
            <v>86</v>
          </cell>
          <cell r="I267">
            <v>18</v>
          </cell>
          <cell r="J267">
            <v>1</v>
          </cell>
          <cell r="K267">
            <v>30</v>
          </cell>
          <cell r="L267">
            <v>0.5</v>
          </cell>
          <cell r="M267">
            <v>1670.22918780228</v>
          </cell>
          <cell r="N267">
            <v>0.66941099999999998</v>
          </cell>
          <cell r="O267">
            <v>1.050754</v>
          </cell>
        </row>
        <row r="268">
          <cell r="B268" t="str">
            <v>OAS2_0128_MR1</v>
          </cell>
          <cell r="C268" t="str">
            <v>Nondemented</v>
          </cell>
          <cell r="D268" t="str">
            <v>1</v>
          </cell>
          <cell r="E268">
            <v>0</v>
          </cell>
          <cell r="F268" t="str">
            <v>F</v>
          </cell>
          <cell r="G268" t="str">
            <v>R</v>
          </cell>
          <cell r="H268">
            <v>76</v>
          </cell>
          <cell r="I268">
            <v>16</v>
          </cell>
          <cell r="J268">
            <v>1</v>
          </cell>
          <cell r="K268">
            <v>28</v>
          </cell>
          <cell r="L268">
            <v>0</v>
          </cell>
          <cell r="M268">
            <v>1345.57</v>
          </cell>
          <cell r="N268">
            <v>0.76177399999999995</v>
          </cell>
          <cell r="O268">
            <v>1.3042800000000001</v>
          </cell>
        </row>
        <row r="269">
          <cell r="B269" t="str">
            <v>OAS2_0128_MR2</v>
          </cell>
          <cell r="C269" t="str">
            <v>Nondemented</v>
          </cell>
          <cell r="D269" t="str">
            <v>2</v>
          </cell>
          <cell r="E269">
            <v>1140</v>
          </cell>
          <cell r="F269" t="str">
            <v>F</v>
          </cell>
          <cell r="G269" t="str">
            <v>R</v>
          </cell>
          <cell r="H269">
            <v>79</v>
          </cell>
          <cell r="I269">
            <v>16</v>
          </cell>
          <cell r="J269">
            <v>1</v>
          </cell>
          <cell r="K269">
            <v>29</v>
          </cell>
          <cell r="L269">
            <v>0</v>
          </cell>
          <cell r="M269">
            <v>1353.5139303962201</v>
          </cell>
          <cell r="N269">
            <v>0.73939299999999997</v>
          </cell>
          <cell r="O269">
            <v>1.2966249999999999</v>
          </cell>
        </row>
        <row r="270">
          <cell r="B270" t="str">
            <v>OAS2_0129_MR1</v>
          </cell>
          <cell r="C270" t="str">
            <v>Nondemented</v>
          </cell>
          <cell r="D270" t="str">
            <v>1</v>
          </cell>
          <cell r="E270">
            <v>0</v>
          </cell>
          <cell r="F270" t="str">
            <v>F</v>
          </cell>
          <cell r="G270" t="str">
            <v>R</v>
          </cell>
          <cell r="H270">
            <v>78</v>
          </cell>
          <cell r="I270">
            <v>18</v>
          </cell>
          <cell r="J270">
            <v>1</v>
          </cell>
          <cell r="K270">
            <v>30</v>
          </cell>
          <cell r="L270">
            <v>0</v>
          </cell>
          <cell r="M270">
            <v>1439.77</v>
          </cell>
          <cell r="N270">
            <v>0.66586199999999995</v>
          </cell>
          <cell r="O270">
            <v>1.2189399999999999</v>
          </cell>
        </row>
        <row r="271">
          <cell r="B271" t="str">
            <v>OAS2_0129_MR2</v>
          </cell>
          <cell r="C271" t="str">
            <v>Nondemented</v>
          </cell>
          <cell r="D271" t="str">
            <v>2</v>
          </cell>
          <cell r="E271">
            <v>737</v>
          </cell>
          <cell r="F271" t="str">
            <v>F</v>
          </cell>
          <cell r="G271" t="str">
            <v>R</v>
          </cell>
          <cell r="H271">
            <v>80</v>
          </cell>
          <cell r="I271">
            <v>18</v>
          </cell>
          <cell r="J271">
            <v>1</v>
          </cell>
          <cell r="K271">
            <v>30</v>
          </cell>
          <cell r="L271">
            <v>0</v>
          </cell>
          <cell r="M271">
            <v>1436.37</v>
          </cell>
          <cell r="N271">
            <v>0.66309300000000004</v>
          </cell>
          <cell r="O271">
            <v>1.22183</v>
          </cell>
        </row>
        <row r="272">
          <cell r="B272" t="str">
            <v>OAS2_0129_MR3</v>
          </cell>
          <cell r="C272" t="str">
            <v>Nondemented</v>
          </cell>
          <cell r="D272" t="str">
            <v>3</v>
          </cell>
          <cell r="E272">
            <v>1591</v>
          </cell>
          <cell r="F272" t="str">
            <v>F</v>
          </cell>
          <cell r="G272" t="str">
            <v>R</v>
          </cell>
          <cell r="H272">
            <v>82</v>
          </cell>
          <cell r="I272">
            <v>18</v>
          </cell>
          <cell r="J272">
            <v>1</v>
          </cell>
          <cell r="K272">
            <v>29</v>
          </cell>
          <cell r="L272">
            <v>0</v>
          </cell>
          <cell r="M272">
            <v>1442.07777523965</v>
          </cell>
          <cell r="N272">
            <v>0.64439900000000006</v>
          </cell>
          <cell r="O272">
            <v>1.2169939999999999</v>
          </cell>
        </row>
        <row r="273">
          <cell r="B273" t="str">
            <v>OAS2_0131_MR1</v>
          </cell>
          <cell r="C273" t="str">
            <v>Converted</v>
          </cell>
          <cell r="D273" t="str">
            <v>1</v>
          </cell>
          <cell r="E273">
            <v>0</v>
          </cell>
          <cell r="F273" t="str">
            <v>F</v>
          </cell>
          <cell r="G273" t="str">
            <v>R</v>
          </cell>
          <cell r="H273">
            <v>65</v>
          </cell>
          <cell r="I273">
            <v>12</v>
          </cell>
          <cell r="J273">
            <v>2</v>
          </cell>
          <cell r="K273">
            <v>30</v>
          </cell>
          <cell r="L273">
            <v>0.5</v>
          </cell>
          <cell r="M273">
            <v>1340.26657176612</v>
          </cell>
          <cell r="N273">
            <v>0.75367399999999996</v>
          </cell>
          <cell r="O273">
            <v>1.3094410000000001</v>
          </cell>
        </row>
        <row r="274">
          <cell r="B274" t="str">
            <v>OAS2_0131_MR2</v>
          </cell>
          <cell r="C274" t="str">
            <v>Converted</v>
          </cell>
          <cell r="D274" t="str">
            <v>2</v>
          </cell>
          <cell r="E274">
            <v>679</v>
          </cell>
          <cell r="F274" t="str">
            <v>F</v>
          </cell>
          <cell r="G274" t="str">
            <v>R</v>
          </cell>
          <cell r="H274">
            <v>67</v>
          </cell>
          <cell r="I274">
            <v>12</v>
          </cell>
          <cell r="J274">
            <v>2</v>
          </cell>
          <cell r="K274">
            <v>25</v>
          </cell>
          <cell r="L274">
            <v>0</v>
          </cell>
          <cell r="M274">
            <v>1331.13676804544</v>
          </cell>
          <cell r="N274">
            <v>0.76052600000000004</v>
          </cell>
          <cell r="O274">
            <v>1.318422</v>
          </cell>
        </row>
        <row r="275">
          <cell r="B275" t="str">
            <v>OAS2_0133_MR1</v>
          </cell>
          <cell r="C275" t="str">
            <v>Converted</v>
          </cell>
          <cell r="D275" t="str">
            <v>1</v>
          </cell>
          <cell r="E275">
            <v>0</v>
          </cell>
          <cell r="F275" t="str">
            <v>F</v>
          </cell>
          <cell r="G275" t="str">
            <v>R</v>
          </cell>
          <cell r="H275">
            <v>78</v>
          </cell>
          <cell r="I275">
            <v>12</v>
          </cell>
          <cell r="J275">
            <v>3</v>
          </cell>
          <cell r="K275">
            <v>29</v>
          </cell>
          <cell r="L275">
            <v>0</v>
          </cell>
          <cell r="M275">
            <v>1475.4</v>
          </cell>
          <cell r="N275">
            <v>0.73109900000000005</v>
          </cell>
          <cell r="O275">
            <v>1.1895100000000001</v>
          </cell>
        </row>
        <row r="276">
          <cell r="B276" t="str">
            <v>OAS2_0133_MR3</v>
          </cell>
          <cell r="C276" t="str">
            <v>Converted</v>
          </cell>
          <cell r="D276" t="str">
            <v>3</v>
          </cell>
          <cell r="E276">
            <v>1006</v>
          </cell>
          <cell r="F276" t="str">
            <v>F</v>
          </cell>
          <cell r="G276" t="str">
            <v>R</v>
          </cell>
          <cell r="H276">
            <v>81</v>
          </cell>
          <cell r="I276">
            <v>12</v>
          </cell>
          <cell r="J276">
            <v>3</v>
          </cell>
          <cell r="K276">
            <v>28</v>
          </cell>
          <cell r="L276">
            <v>0.5</v>
          </cell>
          <cell r="M276">
            <v>1494.62</v>
          </cell>
          <cell r="N276">
            <v>0.68729799999999996</v>
          </cell>
          <cell r="O276">
            <v>1.17421</v>
          </cell>
        </row>
        <row r="277">
          <cell r="B277" t="str">
            <v>OAS2_0134_MR1</v>
          </cell>
          <cell r="C277" t="str">
            <v>Demented</v>
          </cell>
          <cell r="D277" t="str">
            <v>1</v>
          </cell>
          <cell r="E277">
            <v>0</v>
          </cell>
          <cell r="F277" t="str">
            <v>F</v>
          </cell>
          <cell r="G277" t="str">
            <v>R</v>
          </cell>
          <cell r="H277">
            <v>70</v>
          </cell>
          <cell r="I277">
            <v>11</v>
          </cell>
          <cell r="J277">
            <v>4</v>
          </cell>
          <cell r="K277">
            <v>29</v>
          </cell>
          <cell r="L277">
            <v>0.5</v>
          </cell>
          <cell r="M277">
            <v>1294.95160717883</v>
          </cell>
          <cell r="N277">
            <v>0.74831099999999995</v>
          </cell>
          <cell r="O277">
            <v>1.3552630000000001</v>
          </cell>
        </row>
        <row r="278">
          <cell r="B278" t="str">
            <v>OAS2_0134_MR2</v>
          </cell>
          <cell r="C278" t="str">
            <v>Demented</v>
          </cell>
          <cell r="D278" t="str">
            <v>2</v>
          </cell>
          <cell r="E278">
            <v>539</v>
          </cell>
          <cell r="F278" t="str">
            <v>F</v>
          </cell>
          <cell r="G278" t="str">
            <v>R</v>
          </cell>
          <cell r="H278">
            <v>71</v>
          </cell>
          <cell r="I278">
            <v>11</v>
          </cell>
          <cell r="J278">
            <v>4</v>
          </cell>
          <cell r="K278">
            <v>28</v>
          </cell>
          <cell r="L278">
            <v>0.5</v>
          </cell>
          <cell r="M278">
            <v>1283.7543267275501</v>
          </cell>
          <cell r="N278">
            <v>0.74072099999999996</v>
          </cell>
          <cell r="O278">
            <v>1.367084</v>
          </cell>
        </row>
        <row r="279">
          <cell r="B279" t="str">
            <v>OAS2_0135_MR1</v>
          </cell>
          <cell r="C279" t="str">
            <v>Nondemented</v>
          </cell>
          <cell r="D279" t="str">
            <v>1</v>
          </cell>
          <cell r="E279">
            <v>0</v>
          </cell>
          <cell r="F279" t="str">
            <v>M</v>
          </cell>
          <cell r="G279" t="str">
            <v>R</v>
          </cell>
          <cell r="H279">
            <v>74</v>
          </cell>
          <cell r="I279">
            <v>18</v>
          </cell>
          <cell r="J279">
            <v>2</v>
          </cell>
          <cell r="K279">
            <v>30</v>
          </cell>
          <cell r="L279">
            <v>0</v>
          </cell>
          <cell r="M279">
            <v>1636.08</v>
          </cell>
          <cell r="N279">
            <v>0.67980600000000002</v>
          </cell>
          <cell r="O279">
            <v>1.0726899999999999</v>
          </cell>
        </row>
        <row r="280">
          <cell r="B280" t="str">
            <v>OAS2_0135_MR2</v>
          </cell>
          <cell r="C280" t="str">
            <v>Nondemented</v>
          </cell>
          <cell r="D280" t="str">
            <v>2</v>
          </cell>
          <cell r="E280">
            <v>1146</v>
          </cell>
          <cell r="F280" t="str">
            <v>M</v>
          </cell>
          <cell r="G280" t="str">
            <v>R</v>
          </cell>
          <cell r="H280">
            <v>78</v>
          </cell>
          <cell r="I280">
            <v>18</v>
          </cell>
          <cell r="J280">
            <v>2</v>
          </cell>
          <cell r="K280">
            <v>27</v>
          </cell>
          <cell r="L280">
            <v>0</v>
          </cell>
          <cell r="M280">
            <v>1645.3104433619501</v>
          </cell>
          <cell r="N280">
            <v>0.66313500000000003</v>
          </cell>
          <cell r="O280">
            <v>1.0666679999999999</v>
          </cell>
        </row>
        <row r="281">
          <cell r="B281" t="str">
            <v>OAS2_0137_MR1</v>
          </cell>
          <cell r="C281" t="str">
            <v>Demented</v>
          </cell>
          <cell r="D281" t="str">
            <v>1</v>
          </cell>
          <cell r="E281">
            <v>0</v>
          </cell>
          <cell r="F281" t="str">
            <v>M</v>
          </cell>
          <cell r="G281" t="str">
            <v>R</v>
          </cell>
          <cell r="H281">
            <v>74</v>
          </cell>
          <cell r="I281">
            <v>18</v>
          </cell>
          <cell r="J281">
            <v>2</v>
          </cell>
          <cell r="K281">
            <v>28</v>
          </cell>
          <cell r="L281">
            <v>0.5</v>
          </cell>
          <cell r="M281">
            <v>1659.14</v>
          </cell>
          <cell r="N281">
            <v>0.73868400000000001</v>
          </cell>
          <cell r="O281">
            <v>1.0577799999999999</v>
          </cell>
        </row>
        <row r="282">
          <cell r="B282" t="str">
            <v>OAS2_0137_MR2</v>
          </cell>
          <cell r="C282" t="str">
            <v>Demented</v>
          </cell>
          <cell r="D282" t="str">
            <v>2</v>
          </cell>
          <cell r="E282">
            <v>636</v>
          </cell>
          <cell r="F282" t="str">
            <v>M</v>
          </cell>
          <cell r="G282" t="str">
            <v>R</v>
          </cell>
          <cell r="H282">
            <v>75</v>
          </cell>
          <cell r="I282">
            <v>18</v>
          </cell>
          <cell r="J282">
            <v>2</v>
          </cell>
          <cell r="K282">
            <v>30</v>
          </cell>
          <cell r="L282">
            <v>0.5</v>
          </cell>
          <cell r="M282">
            <v>1650.5</v>
          </cell>
          <cell r="N282">
            <v>0.73732799999999998</v>
          </cell>
          <cell r="O282">
            <v>1.06332</v>
          </cell>
        </row>
        <row r="283">
          <cell r="B283" t="str">
            <v>OAS2_0138_MR1</v>
          </cell>
          <cell r="C283" t="str">
            <v>Nondemented</v>
          </cell>
          <cell r="D283" t="str">
            <v>1</v>
          </cell>
          <cell r="E283">
            <v>0</v>
          </cell>
          <cell r="F283" t="str">
            <v>F</v>
          </cell>
          <cell r="G283" t="str">
            <v>R</v>
          </cell>
          <cell r="H283">
            <v>73</v>
          </cell>
          <cell r="I283">
            <v>16</v>
          </cell>
          <cell r="J283">
            <v>2</v>
          </cell>
          <cell r="K283">
            <v>29</v>
          </cell>
          <cell r="L283">
            <v>0</v>
          </cell>
          <cell r="M283">
            <v>1122.77</v>
          </cell>
          <cell r="N283">
            <v>0.78558899999999998</v>
          </cell>
          <cell r="O283">
            <v>1.5630999999999999</v>
          </cell>
        </row>
        <row r="284">
          <cell r="B284" t="str">
            <v>OAS2_0138_MR2</v>
          </cell>
          <cell r="C284" t="str">
            <v>Nondemented</v>
          </cell>
          <cell r="D284" t="str">
            <v>2</v>
          </cell>
          <cell r="E284">
            <v>846</v>
          </cell>
          <cell r="F284" t="str">
            <v>F</v>
          </cell>
          <cell r="G284" t="str">
            <v>R</v>
          </cell>
          <cell r="H284">
            <v>75</v>
          </cell>
          <cell r="I284">
            <v>16</v>
          </cell>
          <cell r="J284">
            <v>2</v>
          </cell>
          <cell r="K284">
            <v>28</v>
          </cell>
          <cell r="L284">
            <v>0</v>
          </cell>
          <cell r="M284">
            <v>1105.65249877465</v>
          </cell>
          <cell r="N284">
            <v>0.76693800000000001</v>
          </cell>
          <cell r="O284">
            <v>1.5872980000000001</v>
          </cell>
        </row>
        <row r="285">
          <cell r="B285" t="str">
            <v>OAS2_0139_MR1</v>
          </cell>
          <cell r="C285" t="str">
            <v>Demented</v>
          </cell>
          <cell r="D285" t="str">
            <v>1</v>
          </cell>
          <cell r="E285">
            <v>0</v>
          </cell>
          <cell r="F285" t="str">
            <v>F</v>
          </cell>
          <cell r="G285" t="str">
            <v>R</v>
          </cell>
          <cell r="H285">
            <v>67</v>
          </cell>
          <cell r="I285">
            <v>16</v>
          </cell>
          <cell r="J285">
            <v>1</v>
          </cell>
          <cell r="K285">
            <v>29</v>
          </cell>
          <cell r="L285">
            <v>0.5</v>
          </cell>
          <cell r="M285">
            <v>1337.3578533387099</v>
          </cell>
          <cell r="N285">
            <v>0.76591900000000002</v>
          </cell>
          <cell r="O285">
            <v>1.312289</v>
          </cell>
        </row>
        <row r="286">
          <cell r="B286" t="str">
            <v>OAS2_0139_MR2</v>
          </cell>
          <cell r="C286" t="str">
            <v>Demented</v>
          </cell>
          <cell r="D286" t="str">
            <v>2</v>
          </cell>
          <cell r="E286">
            <v>403</v>
          </cell>
          <cell r="F286" t="str">
            <v>F</v>
          </cell>
          <cell r="G286" t="str">
            <v>R</v>
          </cell>
          <cell r="H286">
            <v>68</v>
          </cell>
          <cell r="I286">
            <v>16</v>
          </cell>
          <cell r="J286">
            <v>1</v>
          </cell>
          <cell r="K286">
            <v>29</v>
          </cell>
          <cell r="L286">
            <v>0.5</v>
          </cell>
          <cell r="M286">
            <v>1344.3279700647699</v>
          </cell>
          <cell r="N286">
            <v>0.73319500000000004</v>
          </cell>
          <cell r="O286">
            <v>1.305485</v>
          </cell>
        </row>
        <row r="287">
          <cell r="B287" t="str">
            <v>OAS2_0140_MR1</v>
          </cell>
          <cell r="C287" t="str">
            <v>Demented</v>
          </cell>
          <cell r="D287" t="str">
            <v>1</v>
          </cell>
          <cell r="E287">
            <v>0</v>
          </cell>
          <cell r="F287" t="str">
            <v>F</v>
          </cell>
          <cell r="G287" t="str">
            <v>R</v>
          </cell>
          <cell r="H287">
            <v>76</v>
          </cell>
          <cell r="I287">
            <v>16</v>
          </cell>
          <cell r="J287">
            <v>3</v>
          </cell>
          <cell r="K287">
            <v>26</v>
          </cell>
          <cell r="L287">
            <v>0.5</v>
          </cell>
          <cell r="M287">
            <v>1390.79</v>
          </cell>
          <cell r="N287">
            <v>0.70517600000000003</v>
          </cell>
          <cell r="O287">
            <v>1.2618799999999999</v>
          </cell>
        </row>
        <row r="288">
          <cell r="B288" t="str">
            <v>OAS2_0140_MR2</v>
          </cell>
          <cell r="C288" t="str">
            <v>Demented</v>
          </cell>
          <cell r="D288" t="str">
            <v>2</v>
          </cell>
          <cell r="E288">
            <v>793</v>
          </cell>
          <cell r="F288" t="str">
            <v>F</v>
          </cell>
          <cell r="G288" t="str">
            <v>R</v>
          </cell>
          <cell r="H288">
            <v>78</v>
          </cell>
          <cell r="I288">
            <v>16</v>
          </cell>
          <cell r="J288">
            <v>3</v>
          </cell>
          <cell r="K288">
            <v>27</v>
          </cell>
          <cell r="L288">
            <v>0.5</v>
          </cell>
          <cell r="M288">
            <v>1393.15</v>
          </cell>
          <cell r="N288">
            <v>0.68974000000000002</v>
          </cell>
          <cell r="O288">
            <v>1.2597400000000001</v>
          </cell>
        </row>
        <row r="289">
          <cell r="B289" t="str">
            <v>OAS2_0140_MR3</v>
          </cell>
          <cell r="C289" t="str">
            <v>Demented</v>
          </cell>
          <cell r="D289" t="str">
            <v>3</v>
          </cell>
          <cell r="E289">
            <v>1655</v>
          </cell>
          <cell r="F289" t="str">
            <v>F</v>
          </cell>
          <cell r="G289" t="str">
            <v>R</v>
          </cell>
          <cell r="H289">
            <v>81</v>
          </cell>
          <cell r="I289">
            <v>16</v>
          </cell>
          <cell r="J289">
            <v>3</v>
          </cell>
          <cell r="K289">
            <v>25</v>
          </cell>
          <cell r="L289">
            <v>0.5</v>
          </cell>
          <cell r="M289">
            <v>1395.62735238756</v>
          </cell>
          <cell r="N289">
            <v>0.68712399999999996</v>
          </cell>
          <cell r="O289">
            <v>1.2574989999999999</v>
          </cell>
        </row>
        <row r="290">
          <cell r="B290" t="str">
            <v>OAS2_0141_MR1</v>
          </cell>
          <cell r="C290" t="str">
            <v>Nondemented</v>
          </cell>
          <cell r="D290" t="str">
            <v>1</v>
          </cell>
          <cell r="E290">
            <v>0</v>
          </cell>
          <cell r="F290" t="str">
            <v>F</v>
          </cell>
          <cell r="G290" t="str">
            <v>R</v>
          </cell>
          <cell r="H290">
            <v>65</v>
          </cell>
          <cell r="I290">
            <v>18</v>
          </cell>
          <cell r="J290">
            <v>2</v>
          </cell>
          <cell r="K290">
            <v>30</v>
          </cell>
          <cell r="L290">
            <v>0</v>
          </cell>
          <cell r="M290">
            <v>1276.9100000000001</v>
          </cell>
          <cell r="N290">
            <v>0.811589</v>
          </cell>
          <cell r="O290">
            <v>1.37442</v>
          </cell>
        </row>
        <row r="291">
          <cell r="B291" t="str">
            <v>OAS2_0141_MR2</v>
          </cell>
          <cell r="C291" t="str">
            <v>Nondemented</v>
          </cell>
          <cell r="D291" t="str">
            <v>2</v>
          </cell>
          <cell r="E291">
            <v>1022</v>
          </cell>
          <cell r="F291" t="str">
            <v>F</v>
          </cell>
          <cell r="G291" t="str">
            <v>R</v>
          </cell>
          <cell r="H291">
            <v>68</v>
          </cell>
          <cell r="I291">
            <v>18</v>
          </cell>
          <cell r="J291">
            <v>2</v>
          </cell>
          <cell r="K291">
            <v>29</v>
          </cell>
          <cell r="L291">
            <v>0</v>
          </cell>
          <cell r="M291">
            <v>1289.67874873972</v>
          </cell>
          <cell r="N291">
            <v>0.795234</v>
          </cell>
          <cell r="O291">
            <v>1.3608039999999999</v>
          </cell>
        </row>
        <row r="292">
          <cell r="B292" t="str">
            <v>OAS2_0142_MR1</v>
          </cell>
          <cell r="C292" t="str">
            <v>Nondemented</v>
          </cell>
          <cell r="D292" t="str">
            <v>1</v>
          </cell>
          <cell r="E292">
            <v>0</v>
          </cell>
          <cell r="F292" t="str">
            <v>F</v>
          </cell>
          <cell r="G292" t="str">
            <v>R</v>
          </cell>
          <cell r="H292">
            <v>69</v>
          </cell>
          <cell r="I292">
            <v>16</v>
          </cell>
          <cell r="J292">
            <v>3</v>
          </cell>
          <cell r="K292">
            <v>29</v>
          </cell>
          <cell r="L292">
            <v>0</v>
          </cell>
          <cell r="M292">
            <v>1379.66</v>
          </cell>
          <cell r="N292">
            <v>0.81945900000000005</v>
          </cell>
          <cell r="O292">
            <v>1.2720499999999999</v>
          </cell>
        </row>
        <row r="293">
          <cell r="B293" t="str">
            <v>OAS2_0142_MR2</v>
          </cell>
          <cell r="C293" t="str">
            <v>Nondemented</v>
          </cell>
          <cell r="D293" t="str">
            <v>2</v>
          </cell>
          <cell r="E293">
            <v>665</v>
          </cell>
          <cell r="F293" t="str">
            <v>F</v>
          </cell>
          <cell r="G293" t="str">
            <v>R</v>
          </cell>
          <cell r="H293">
            <v>71</v>
          </cell>
          <cell r="I293">
            <v>16</v>
          </cell>
          <cell r="J293">
            <v>3</v>
          </cell>
          <cell r="K293">
            <v>28</v>
          </cell>
          <cell r="L293">
            <v>0</v>
          </cell>
          <cell r="M293">
            <v>1390.44262819802</v>
          </cell>
          <cell r="N293">
            <v>0.80986100000000005</v>
          </cell>
          <cell r="O293">
            <v>1.2621880000000001</v>
          </cell>
        </row>
        <row r="294">
          <cell r="B294" t="str">
            <v>OAS2_0143_MR1</v>
          </cell>
          <cell r="C294" t="str">
            <v>Nondemented</v>
          </cell>
          <cell r="D294" t="str">
            <v>1</v>
          </cell>
          <cell r="E294">
            <v>0</v>
          </cell>
          <cell r="F294" t="str">
            <v>F</v>
          </cell>
          <cell r="G294" t="str">
            <v>R</v>
          </cell>
          <cell r="H294">
            <v>89</v>
          </cell>
          <cell r="I294">
            <v>18</v>
          </cell>
          <cell r="J294">
            <v>2</v>
          </cell>
          <cell r="K294">
            <v>30</v>
          </cell>
          <cell r="L294">
            <v>0</v>
          </cell>
          <cell r="M294">
            <v>1714.94</v>
          </cell>
          <cell r="N294">
            <v>0.74578900000000004</v>
          </cell>
          <cell r="O294">
            <v>1.02336</v>
          </cell>
        </row>
        <row r="295">
          <cell r="B295" t="str">
            <v>OAS2_0143_MR2</v>
          </cell>
          <cell r="C295" t="str">
            <v>Nondemented</v>
          </cell>
          <cell r="D295" t="str">
            <v>2</v>
          </cell>
          <cell r="E295">
            <v>561</v>
          </cell>
          <cell r="F295" t="str">
            <v>F</v>
          </cell>
          <cell r="G295" t="str">
            <v>R</v>
          </cell>
          <cell r="H295">
            <v>91</v>
          </cell>
          <cell r="I295">
            <v>18</v>
          </cell>
          <cell r="J295">
            <v>2</v>
          </cell>
          <cell r="K295">
            <v>30</v>
          </cell>
          <cell r="L295">
            <v>0</v>
          </cell>
          <cell r="M295">
            <v>1713.64</v>
          </cell>
          <cell r="N295">
            <v>0.74124599999999996</v>
          </cell>
          <cell r="O295">
            <v>1.02413</v>
          </cell>
        </row>
        <row r="296">
          <cell r="B296" t="str">
            <v>OAS2_0143_MR3</v>
          </cell>
          <cell r="C296" t="str">
            <v>Nondemented</v>
          </cell>
          <cell r="D296" t="str">
            <v>3</v>
          </cell>
          <cell r="E296">
            <v>1553</v>
          </cell>
          <cell r="F296" t="str">
            <v>F</v>
          </cell>
          <cell r="G296" t="str">
            <v>R</v>
          </cell>
          <cell r="H296">
            <v>93</v>
          </cell>
          <cell r="I296">
            <v>18</v>
          </cell>
          <cell r="J296">
            <v>2</v>
          </cell>
          <cell r="K296">
            <v>29</v>
          </cell>
          <cell r="L296">
            <v>0</v>
          </cell>
          <cell r="M296">
            <v>1743.88101465059</v>
          </cell>
          <cell r="N296">
            <v>0.722715</v>
          </cell>
          <cell r="O296">
            <v>1.0063759999999999</v>
          </cell>
        </row>
        <row r="297">
          <cell r="B297" t="str">
            <v>OAS2_0144_MR1</v>
          </cell>
          <cell r="C297" t="str">
            <v>Converted</v>
          </cell>
          <cell r="D297" t="str">
            <v>1</v>
          </cell>
          <cell r="E297">
            <v>0</v>
          </cell>
          <cell r="F297" t="str">
            <v>M</v>
          </cell>
          <cell r="G297" t="str">
            <v>R</v>
          </cell>
          <cell r="H297">
            <v>77</v>
          </cell>
          <cell r="I297">
            <v>16</v>
          </cell>
          <cell r="J297">
            <v>1</v>
          </cell>
          <cell r="K297">
            <v>30</v>
          </cell>
          <cell r="L297">
            <v>0</v>
          </cell>
          <cell r="M297">
            <v>1703.68</v>
          </cell>
          <cell r="N297">
            <v>0.71632399999999996</v>
          </cell>
          <cell r="O297">
            <v>1.03013</v>
          </cell>
        </row>
        <row r="298">
          <cell r="B298" t="str">
            <v>OAS2_0144_MR2</v>
          </cell>
          <cell r="C298" t="str">
            <v>Converted</v>
          </cell>
          <cell r="D298" t="str">
            <v>2</v>
          </cell>
          <cell r="E298">
            <v>683</v>
          </cell>
          <cell r="F298" t="str">
            <v>M</v>
          </cell>
          <cell r="G298" t="str">
            <v>R</v>
          </cell>
          <cell r="H298">
            <v>79</v>
          </cell>
          <cell r="I298">
            <v>16</v>
          </cell>
          <cell r="J298">
            <v>1</v>
          </cell>
          <cell r="K298">
            <v>30</v>
          </cell>
          <cell r="L298">
            <v>0.5</v>
          </cell>
          <cell r="M298">
            <v>1721.81</v>
          </cell>
          <cell r="N298">
            <v>0.70776799999999995</v>
          </cell>
          <cell r="O298">
            <v>1.0192699999999999</v>
          </cell>
        </row>
        <row r="299">
          <cell r="B299" t="str">
            <v>OAS2_0145_MR1</v>
          </cell>
          <cell r="C299" t="str">
            <v>Converted</v>
          </cell>
          <cell r="D299" t="str">
            <v>1</v>
          </cell>
          <cell r="E299">
            <v>0</v>
          </cell>
          <cell r="F299" t="str">
            <v>F</v>
          </cell>
          <cell r="G299" t="str">
            <v>R</v>
          </cell>
          <cell r="H299">
            <v>68</v>
          </cell>
          <cell r="I299">
            <v>16</v>
          </cell>
          <cell r="J299">
            <v>3</v>
          </cell>
          <cell r="K299">
            <v>30</v>
          </cell>
          <cell r="L299">
            <v>0</v>
          </cell>
          <cell r="M299">
            <v>1298.1099999999999</v>
          </cell>
          <cell r="N299">
            <v>0.79898100000000005</v>
          </cell>
          <cell r="O299">
            <v>1.3519699999999999</v>
          </cell>
        </row>
        <row r="300">
          <cell r="B300" t="str">
            <v>OAS2_0145_MR2</v>
          </cell>
          <cell r="C300" t="str">
            <v>Converted</v>
          </cell>
          <cell r="D300" t="str">
            <v>2</v>
          </cell>
          <cell r="E300">
            <v>1707</v>
          </cell>
          <cell r="F300" t="str">
            <v>F</v>
          </cell>
          <cell r="G300" t="str">
            <v>R</v>
          </cell>
          <cell r="H300">
            <v>73</v>
          </cell>
          <cell r="I300">
            <v>16</v>
          </cell>
          <cell r="J300">
            <v>3</v>
          </cell>
          <cell r="K300">
            <v>29</v>
          </cell>
          <cell r="L300">
            <v>0.5</v>
          </cell>
          <cell r="M300">
            <v>1286.99184905162</v>
          </cell>
          <cell r="N300">
            <v>0.770652</v>
          </cell>
          <cell r="O300">
            <v>1.363645</v>
          </cell>
        </row>
        <row r="301">
          <cell r="B301" t="str">
            <v>OAS2_0146_MR1</v>
          </cell>
          <cell r="C301" t="str">
            <v>Demented</v>
          </cell>
          <cell r="D301" t="str">
            <v>1</v>
          </cell>
          <cell r="E301">
            <v>0</v>
          </cell>
          <cell r="F301" t="str">
            <v>F</v>
          </cell>
          <cell r="G301" t="str">
            <v>R</v>
          </cell>
          <cell r="H301">
            <v>80</v>
          </cell>
          <cell r="I301">
            <v>15</v>
          </cell>
          <cell r="J301">
            <v>2</v>
          </cell>
          <cell r="K301">
            <v>20</v>
          </cell>
          <cell r="L301">
            <v>1</v>
          </cell>
          <cell r="M301">
            <v>1731.9</v>
          </cell>
          <cell r="N301">
            <v>0.68467800000000001</v>
          </cell>
          <cell r="O301">
            <v>1.0133399999999999</v>
          </cell>
        </row>
        <row r="302">
          <cell r="B302" t="str">
            <v>OAS2_0146_MR2</v>
          </cell>
          <cell r="C302" t="str">
            <v>Demented</v>
          </cell>
          <cell r="D302" t="str">
            <v>2</v>
          </cell>
          <cell r="E302">
            <v>525</v>
          </cell>
          <cell r="F302" t="str">
            <v>F</v>
          </cell>
          <cell r="G302" t="str">
            <v>R</v>
          </cell>
          <cell r="H302">
            <v>82</v>
          </cell>
          <cell r="I302">
            <v>15</v>
          </cell>
          <cell r="J302">
            <v>2</v>
          </cell>
          <cell r="K302">
            <v>20</v>
          </cell>
          <cell r="L302">
            <v>1</v>
          </cell>
          <cell r="M302">
            <v>1729.24</v>
          </cell>
          <cell r="N302">
            <v>0.69770799999999999</v>
          </cell>
          <cell r="O302">
            <v>1.0148999999999999</v>
          </cell>
        </row>
        <row r="303">
          <cell r="B303" t="str">
            <v>OAS2_0147_MR1</v>
          </cell>
          <cell r="C303" t="str">
            <v>Nondemented</v>
          </cell>
          <cell r="D303" t="str">
            <v>1</v>
          </cell>
          <cell r="E303">
            <v>0</v>
          </cell>
          <cell r="F303" t="str">
            <v>F</v>
          </cell>
          <cell r="G303" t="str">
            <v>R</v>
          </cell>
          <cell r="H303">
            <v>77</v>
          </cell>
          <cell r="I303">
            <v>13</v>
          </cell>
          <cell r="J303">
            <v>2</v>
          </cell>
          <cell r="K303">
            <v>29</v>
          </cell>
          <cell r="L303">
            <v>0</v>
          </cell>
          <cell r="M303">
            <v>1350.61</v>
          </cell>
          <cell r="N303">
            <v>0.76930699999999996</v>
          </cell>
          <cell r="O303">
            <v>1.29941</v>
          </cell>
        </row>
        <row r="304">
          <cell r="B304" t="str">
            <v>OAS2_0147_MR2</v>
          </cell>
          <cell r="C304" t="str">
            <v>Nondemented</v>
          </cell>
          <cell r="D304" t="str">
            <v>2</v>
          </cell>
          <cell r="E304">
            <v>440</v>
          </cell>
          <cell r="F304" t="str">
            <v>F</v>
          </cell>
          <cell r="G304" t="str">
            <v>R</v>
          </cell>
          <cell r="H304">
            <v>78</v>
          </cell>
          <cell r="I304">
            <v>13</v>
          </cell>
          <cell r="J304">
            <v>2</v>
          </cell>
          <cell r="K304">
            <v>29</v>
          </cell>
          <cell r="L304">
            <v>0</v>
          </cell>
          <cell r="M304">
            <v>1333.71</v>
          </cell>
          <cell r="N304">
            <v>0.76940399999999998</v>
          </cell>
          <cell r="O304">
            <v>1.3158700000000001</v>
          </cell>
        </row>
        <row r="305">
          <cell r="B305" t="str">
            <v>OAS2_0147_MR3</v>
          </cell>
          <cell r="C305" t="str">
            <v>Nondemented</v>
          </cell>
          <cell r="D305" t="str">
            <v>3</v>
          </cell>
          <cell r="E305">
            <v>1204</v>
          </cell>
          <cell r="F305" t="str">
            <v>F</v>
          </cell>
          <cell r="G305" t="str">
            <v>R</v>
          </cell>
          <cell r="H305">
            <v>80</v>
          </cell>
          <cell r="I305">
            <v>13</v>
          </cell>
          <cell r="J305">
            <v>2</v>
          </cell>
          <cell r="K305">
            <v>28</v>
          </cell>
          <cell r="L305">
            <v>0</v>
          </cell>
          <cell r="M305">
            <v>1336.6</v>
          </cell>
          <cell r="N305">
            <v>0.76197300000000001</v>
          </cell>
          <cell r="O305">
            <v>1.31304</v>
          </cell>
        </row>
        <row r="306">
          <cell r="B306" t="str">
            <v>OAS2_0147_MR4</v>
          </cell>
          <cell r="C306" t="str">
            <v>Nondemented</v>
          </cell>
          <cell r="D306" t="str">
            <v>4</v>
          </cell>
          <cell r="E306">
            <v>1806</v>
          </cell>
          <cell r="F306" t="str">
            <v>F</v>
          </cell>
          <cell r="G306" t="str">
            <v>R</v>
          </cell>
          <cell r="H306">
            <v>82</v>
          </cell>
          <cell r="I306">
            <v>13</v>
          </cell>
          <cell r="J306">
            <v>2</v>
          </cell>
          <cell r="K306">
            <v>30</v>
          </cell>
          <cell r="L306">
            <v>0</v>
          </cell>
          <cell r="M306">
            <v>1342.3599069603099</v>
          </cell>
          <cell r="N306">
            <v>0.74695999999999996</v>
          </cell>
          <cell r="O306">
            <v>1.307399</v>
          </cell>
        </row>
        <row r="307">
          <cell r="B307" t="str">
            <v>OAS2_0149_MR1</v>
          </cell>
          <cell r="C307" t="str">
            <v>Nondemented</v>
          </cell>
          <cell r="D307" t="str">
            <v>1</v>
          </cell>
          <cell r="E307">
            <v>0</v>
          </cell>
          <cell r="F307" t="str">
            <v>F</v>
          </cell>
          <cell r="G307" t="str">
            <v>R</v>
          </cell>
          <cell r="H307">
            <v>81</v>
          </cell>
          <cell r="I307">
            <v>13</v>
          </cell>
          <cell r="J307">
            <v>2</v>
          </cell>
          <cell r="K307">
            <v>29</v>
          </cell>
          <cell r="L307">
            <v>0</v>
          </cell>
          <cell r="M307">
            <v>1344.64</v>
          </cell>
          <cell r="N307">
            <v>0.73667099999999996</v>
          </cell>
          <cell r="O307">
            <v>1.30518</v>
          </cell>
        </row>
        <row r="308">
          <cell r="B308" t="str">
            <v>OAS2_0149_MR2</v>
          </cell>
          <cell r="C308" t="str">
            <v>Nondemented</v>
          </cell>
          <cell r="D308" t="str">
            <v>2</v>
          </cell>
          <cell r="E308">
            <v>674</v>
          </cell>
          <cell r="F308" t="str">
            <v>F</v>
          </cell>
          <cell r="G308" t="str">
            <v>R</v>
          </cell>
          <cell r="H308">
            <v>83</v>
          </cell>
          <cell r="I308">
            <v>13</v>
          </cell>
          <cell r="J308">
            <v>2</v>
          </cell>
          <cell r="K308">
            <v>30</v>
          </cell>
          <cell r="L308">
            <v>0</v>
          </cell>
          <cell r="M308">
            <v>1335.38</v>
          </cell>
          <cell r="N308">
            <v>0.73182599999999998</v>
          </cell>
          <cell r="O308">
            <v>1.3142400000000001</v>
          </cell>
        </row>
        <row r="309">
          <cell r="B309" t="str">
            <v>OAS2_0150_MR1</v>
          </cell>
          <cell r="C309" t="str">
            <v>Demented</v>
          </cell>
          <cell r="D309" t="str">
            <v>1</v>
          </cell>
          <cell r="E309">
            <v>0</v>
          </cell>
          <cell r="F309" t="str">
            <v>F</v>
          </cell>
          <cell r="G309" t="str">
            <v>R</v>
          </cell>
          <cell r="H309">
            <v>73</v>
          </cell>
          <cell r="I309">
            <v>12</v>
          </cell>
          <cell r="J309">
            <v>3</v>
          </cell>
          <cell r="K309">
            <v>30</v>
          </cell>
          <cell r="L309">
            <v>0.5</v>
          </cell>
          <cell r="M309">
            <v>1343.42</v>
          </cell>
          <cell r="N309">
            <v>0.72016100000000005</v>
          </cell>
          <cell r="O309">
            <v>1.30637</v>
          </cell>
        </row>
        <row r="310">
          <cell r="B310" t="str">
            <v>OAS2_0150_MR2</v>
          </cell>
          <cell r="C310" t="str">
            <v>Demented</v>
          </cell>
          <cell r="D310" t="str">
            <v>2</v>
          </cell>
          <cell r="E310">
            <v>518</v>
          </cell>
          <cell r="F310" t="str">
            <v>F</v>
          </cell>
          <cell r="G310" t="str">
            <v>R</v>
          </cell>
          <cell r="H310">
            <v>75</v>
          </cell>
          <cell r="I310">
            <v>12</v>
          </cell>
          <cell r="J310">
            <v>3</v>
          </cell>
          <cell r="K310">
            <v>27</v>
          </cell>
          <cell r="L310">
            <v>1</v>
          </cell>
          <cell r="M310">
            <v>1356.88</v>
          </cell>
          <cell r="N310">
            <v>0.71361300000000005</v>
          </cell>
          <cell r="O310">
            <v>1.2934099999999999</v>
          </cell>
        </row>
        <row r="311">
          <cell r="B311" t="str">
            <v>OAS2_0152_MR1</v>
          </cell>
          <cell r="C311" t="str">
            <v>Nondemented</v>
          </cell>
          <cell r="D311" t="str">
            <v>1</v>
          </cell>
          <cell r="E311">
            <v>0</v>
          </cell>
          <cell r="F311" t="str">
            <v>F</v>
          </cell>
          <cell r="G311" t="str">
            <v>R</v>
          </cell>
          <cell r="H311">
            <v>66</v>
          </cell>
          <cell r="I311">
            <v>18</v>
          </cell>
          <cell r="J311">
            <v>2</v>
          </cell>
          <cell r="K311">
            <v>29</v>
          </cell>
          <cell r="L311">
            <v>0</v>
          </cell>
          <cell r="M311">
            <v>1190.5999999999999</v>
          </cell>
          <cell r="N311">
            <v>0.78532400000000002</v>
          </cell>
          <cell r="O311">
            <v>1.4740500000000001</v>
          </cell>
        </row>
        <row r="312">
          <cell r="B312" t="str">
            <v>OAS2_0152_MR2</v>
          </cell>
          <cell r="C312" t="str">
            <v>Nondemented</v>
          </cell>
          <cell r="D312" t="str">
            <v>2</v>
          </cell>
          <cell r="E312">
            <v>790</v>
          </cell>
          <cell r="F312" t="str">
            <v>F</v>
          </cell>
          <cell r="G312" t="str">
            <v>R</v>
          </cell>
          <cell r="H312">
            <v>68</v>
          </cell>
          <cell r="I312">
            <v>18</v>
          </cell>
          <cell r="J312">
            <v>2</v>
          </cell>
          <cell r="K312">
            <v>29</v>
          </cell>
          <cell r="L312">
            <v>0</v>
          </cell>
          <cell r="M312">
            <v>1194.2967735613299</v>
          </cell>
          <cell r="N312">
            <v>0.772142</v>
          </cell>
          <cell r="O312">
            <v>1.469484</v>
          </cell>
        </row>
        <row r="313">
          <cell r="B313" t="str">
            <v>OAS2_0152_MR3</v>
          </cell>
          <cell r="C313" t="str">
            <v>Nondemented</v>
          </cell>
          <cell r="D313" t="str">
            <v>3</v>
          </cell>
          <cell r="E313">
            <v>1329</v>
          </cell>
          <cell r="F313" t="str">
            <v>F</v>
          </cell>
          <cell r="G313" t="str">
            <v>R</v>
          </cell>
          <cell r="H313">
            <v>69</v>
          </cell>
          <cell r="I313">
            <v>18</v>
          </cell>
          <cell r="J313">
            <v>2</v>
          </cell>
          <cell r="K313">
            <v>29</v>
          </cell>
          <cell r="L313">
            <v>0</v>
          </cell>
          <cell r="M313">
            <v>1201.5445495748399</v>
          </cell>
          <cell r="N313">
            <v>0.77012599999999998</v>
          </cell>
          <cell r="O313">
            <v>1.46062</v>
          </cell>
        </row>
        <row r="314">
          <cell r="B314" t="str">
            <v>OAS2_0154_MR1</v>
          </cell>
          <cell r="C314" t="str">
            <v>Nondemented</v>
          </cell>
          <cell r="D314" t="str">
            <v>1</v>
          </cell>
          <cell r="E314">
            <v>0</v>
          </cell>
          <cell r="F314" t="str">
            <v>F</v>
          </cell>
          <cell r="G314" t="str">
            <v>R</v>
          </cell>
          <cell r="H314">
            <v>75</v>
          </cell>
          <cell r="I314">
            <v>18</v>
          </cell>
          <cell r="J314">
            <v>1</v>
          </cell>
          <cell r="K314">
            <v>29</v>
          </cell>
          <cell r="L314">
            <v>0</v>
          </cell>
          <cell r="M314">
            <v>1436.47</v>
          </cell>
          <cell r="N314">
            <v>0.75005299999999997</v>
          </cell>
          <cell r="O314">
            <v>1.22174</v>
          </cell>
        </row>
        <row r="315">
          <cell r="B315" t="str">
            <v>OAS2_0154_MR2</v>
          </cell>
          <cell r="C315" t="str">
            <v>Nondemented</v>
          </cell>
          <cell r="D315" t="str">
            <v>2</v>
          </cell>
          <cell r="E315">
            <v>791</v>
          </cell>
          <cell r="F315" t="str">
            <v>F</v>
          </cell>
          <cell r="G315" t="str">
            <v>R</v>
          </cell>
          <cell r="H315">
            <v>77</v>
          </cell>
          <cell r="I315">
            <v>18</v>
          </cell>
          <cell r="J315">
            <v>1</v>
          </cell>
          <cell r="K315">
            <v>28</v>
          </cell>
          <cell r="L315">
            <v>0</v>
          </cell>
          <cell r="M315">
            <v>1559.41227484042</v>
          </cell>
          <cell r="N315">
            <v>0.71335199999999999</v>
          </cell>
          <cell r="O315">
            <v>1.125424</v>
          </cell>
        </row>
        <row r="316">
          <cell r="B316" t="str">
            <v>OAS2_0156_MR1</v>
          </cell>
          <cell r="C316" t="str">
            <v>Nondemented</v>
          </cell>
          <cell r="D316" t="str">
            <v>1</v>
          </cell>
          <cell r="E316">
            <v>0</v>
          </cell>
          <cell r="F316" t="str">
            <v>F</v>
          </cell>
          <cell r="G316" t="str">
            <v>R</v>
          </cell>
          <cell r="H316">
            <v>78</v>
          </cell>
          <cell r="I316">
            <v>18</v>
          </cell>
          <cell r="J316">
            <v>1</v>
          </cell>
          <cell r="K316">
            <v>30</v>
          </cell>
          <cell r="L316">
            <v>0</v>
          </cell>
          <cell r="M316">
            <v>1242.56</v>
          </cell>
          <cell r="N316">
            <v>0.74780999999999997</v>
          </cell>
          <cell r="O316">
            <v>1.4124099999999999</v>
          </cell>
        </row>
        <row r="317">
          <cell r="B317" t="str">
            <v>OAS2_0156_MR2</v>
          </cell>
          <cell r="C317" t="str">
            <v>Nondemented</v>
          </cell>
          <cell r="D317" t="str">
            <v>2</v>
          </cell>
          <cell r="E317">
            <v>777</v>
          </cell>
          <cell r="F317" t="str">
            <v>F</v>
          </cell>
          <cell r="G317" t="str">
            <v>R</v>
          </cell>
          <cell r="H317">
            <v>81</v>
          </cell>
          <cell r="I317">
            <v>18</v>
          </cell>
          <cell r="J317">
            <v>1</v>
          </cell>
          <cell r="K317">
            <v>30</v>
          </cell>
          <cell r="L317">
            <v>0</v>
          </cell>
          <cell r="M317">
            <v>1255.6306628585201</v>
          </cell>
          <cell r="N317">
            <v>0.73886099999999999</v>
          </cell>
          <cell r="O317">
            <v>1.3977040000000001</v>
          </cell>
        </row>
        <row r="318">
          <cell r="B318" t="str">
            <v>OAS2_0157_MR1</v>
          </cell>
          <cell r="C318" t="str">
            <v>Demented</v>
          </cell>
          <cell r="D318" t="str">
            <v>1</v>
          </cell>
          <cell r="E318">
            <v>0</v>
          </cell>
          <cell r="F318" t="str">
            <v>F</v>
          </cell>
          <cell r="G318" t="str">
            <v>R</v>
          </cell>
          <cell r="H318">
            <v>73</v>
          </cell>
          <cell r="I318">
            <v>12</v>
          </cell>
          <cell r="J318">
            <v>2</v>
          </cell>
          <cell r="K318">
            <v>19</v>
          </cell>
          <cell r="L318">
            <v>1</v>
          </cell>
          <cell r="M318">
            <v>1274.26</v>
          </cell>
          <cell r="N318">
            <v>0.72849799999999998</v>
          </cell>
          <cell r="O318">
            <v>1.37727</v>
          </cell>
        </row>
        <row r="319">
          <cell r="B319" t="str">
            <v>OAS2_0157_MR2</v>
          </cell>
          <cell r="C319" t="str">
            <v>Demented</v>
          </cell>
          <cell r="D319" t="str">
            <v>2</v>
          </cell>
          <cell r="E319">
            <v>764</v>
          </cell>
          <cell r="F319" t="str">
            <v>F</v>
          </cell>
          <cell r="G319" t="str">
            <v>R</v>
          </cell>
          <cell r="H319">
            <v>75</v>
          </cell>
          <cell r="I319">
            <v>12</v>
          </cell>
          <cell r="J319">
            <v>2</v>
          </cell>
          <cell r="K319">
            <v>18</v>
          </cell>
          <cell r="L319">
            <v>1</v>
          </cell>
          <cell r="M319">
            <v>1478.52</v>
          </cell>
          <cell r="N319">
            <v>0.65686199999999995</v>
          </cell>
          <cell r="O319">
            <v>1.1870000000000001</v>
          </cell>
        </row>
        <row r="320">
          <cell r="B320" t="str">
            <v>OAS2_0158_MR1</v>
          </cell>
          <cell r="C320" t="str">
            <v>Nondemented</v>
          </cell>
          <cell r="D320" t="str">
            <v>1</v>
          </cell>
          <cell r="E320">
            <v>0</v>
          </cell>
          <cell r="F320" t="str">
            <v>F</v>
          </cell>
          <cell r="G320" t="str">
            <v>R</v>
          </cell>
          <cell r="H320">
            <v>73</v>
          </cell>
          <cell r="I320">
            <v>15</v>
          </cell>
          <cell r="J320">
            <v>4</v>
          </cell>
          <cell r="K320">
            <v>29</v>
          </cell>
          <cell r="L320">
            <v>0</v>
          </cell>
          <cell r="M320">
            <v>1272.1600000000001</v>
          </cell>
          <cell r="N320">
            <v>0.69668699999999995</v>
          </cell>
          <cell r="O320">
            <v>1.3795500000000001</v>
          </cell>
        </row>
        <row r="321">
          <cell r="B321" t="str">
            <v>OAS2_0158_MR2</v>
          </cell>
          <cell r="C321" t="str">
            <v>Nondemented</v>
          </cell>
          <cell r="D321" t="str">
            <v>2</v>
          </cell>
          <cell r="E321">
            <v>1399</v>
          </cell>
          <cell r="F321" t="str">
            <v>F</v>
          </cell>
          <cell r="G321" t="str">
            <v>R</v>
          </cell>
          <cell r="H321">
            <v>76</v>
          </cell>
          <cell r="I321">
            <v>15</v>
          </cell>
          <cell r="J321">
            <v>4</v>
          </cell>
          <cell r="K321">
            <v>29</v>
          </cell>
          <cell r="L321">
            <v>0</v>
          </cell>
          <cell r="M321">
            <v>1280.62836164945</v>
          </cell>
          <cell r="N321">
            <v>0.679535</v>
          </cell>
          <cell r="O321">
            <v>1.3704209999999999</v>
          </cell>
        </row>
        <row r="322">
          <cell r="B322" t="str">
            <v>OAS2_0159_MR1</v>
          </cell>
          <cell r="C322" t="str">
            <v>Demented</v>
          </cell>
          <cell r="D322" t="str">
            <v>1</v>
          </cell>
          <cell r="E322">
            <v>0</v>
          </cell>
          <cell r="F322" t="str">
            <v>F</v>
          </cell>
          <cell r="G322" t="str">
            <v>R</v>
          </cell>
          <cell r="H322">
            <v>73</v>
          </cell>
          <cell r="I322">
            <v>14</v>
          </cell>
          <cell r="J322">
            <v>3</v>
          </cell>
          <cell r="K322">
            <v>29</v>
          </cell>
          <cell r="L322">
            <v>0.5</v>
          </cell>
          <cell r="M322">
            <v>1237.8599999999999</v>
          </cell>
          <cell r="N322">
            <v>0.75700699999999999</v>
          </cell>
          <cell r="O322">
            <v>1.41777</v>
          </cell>
        </row>
        <row r="323">
          <cell r="B323" t="str">
            <v>OAS2_0159_MR2</v>
          </cell>
          <cell r="C323" t="str">
            <v>Demented</v>
          </cell>
          <cell r="D323" t="str">
            <v>2</v>
          </cell>
          <cell r="E323">
            <v>759</v>
          </cell>
          <cell r="F323" t="str">
            <v>F</v>
          </cell>
          <cell r="G323" t="str">
            <v>R</v>
          </cell>
          <cell r="H323">
            <v>76</v>
          </cell>
          <cell r="I323">
            <v>14</v>
          </cell>
          <cell r="J323">
            <v>3</v>
          </cell>
          <cell r="K323">
            <v>28</v>
          </cell>
          <cell r="L323">
            <v>0.5</v>
          </cell>
          <cell r="M323">
            <v>1236.4945555489001</v>
          </cell>
          <cell r="N323">
            <v>0.76370899999999997</v>
          </cell>
          <cell r="O323">
            <v>1.419335</v>
          </cell>
        </row>
        <row r="324">
          <cell r="B324" t="str">
            <v>OAS2_0160_MR1</v>
          </cell>
          <cell r="C324" t="str">
            <v>Demented</v>
          </cell>
          <cell r="D324" t="str">
            <v>1</v>
          </cell>
          <cell r="E324">
            <v>0</v>
          </cell>
          <cell r="F324" t="str">
            <v>M</v>
          </cell>
          <cell r="G324" t="str">
            <v>R</v>
          </cell>
          <cell r="H324">
            <v>76</v>
          </cell>
          <cell r="I324">
            <v>12</v>
          </cell>
          <cell r="K324">
            <v>27</v>
          </cell>
          <cell r="L324">
            <v>0.5</v>
          </cell>
          <cell r="M324">
            <v>1557.15</v>
          </cell>
          <cell r="N324">
            <v>0.70515300000000003</v>
          </cell>
          <cell r="O324">
            <v>1.12706</v>
          </cell>
        </row>
        <row r="325">
          <cell r="B325" t="str">
            <v>OAS2_0160_MR2</v>
          </cell>
          <cell r="C325" t="str">
            <v>Demented</v>
          </cell>
          <cell r="D325" t="str">
            <v>2</v>
          </cell>
          <cell r="E325">
            <v>552</v>
          </cell>
          <cell r="F325" t="str">
            <v>M</v>
          </cell>
          <cell r="G325" t="str">
            <v>R</v>
          </cell>
          <cell r="H325">
            <v>78</v>
          </cell>
          <cell r="I325">
            <v>12</v>
          </cell>
          <cell r="K325">
            <v>29</v>
          </cell>
          <cell r="L325">
            <v>1</v>
          </cell>
          <cell r="M325">
            <v>1569</v>
          </cell>
          <cell r="N325">
            <v>0.704237</v>
          </cell>
          <cell r="O325">
            <v>1.1185499999999999</v>
          </cell>
        </row>
        <row r="326">
          <cell r="B326" t="str">
            <v>OAS2_0161_MR1</v>
          </cell>
          <cell r="C326" t="str">
            <v>Nondemented</v>
          </cell>
          <cell r="D326" t="str">
            <v>1</v>
          </cell>
          <cell r="E326">
            <v>0</v>
          </cell>
          <cell r="F326" t="str">
            <v>M</v>
          </cell>
          <cell r="G326" t="str">
            <v>R</v>
          </cell>
          <cell r="H326">
            <v>77</v>
          </cell>
          <cell r="I326">
            <v>16</v>
          </cell>
          <cell r="J326">
            <v>1</v>
          </cell>
          <cell r="K326">
            <v>29</v>
          </cell>
          <cell r="L326">
            <v>0</v>
          </cell>
          <cell r="M326">
            <v>1818.39</v>
          </cell>
          <cell r="N326">
            <v>0.73394099999999995</v>
          </cell>
          <cell r="O326">
            <v>0.96514100000000003</v>
          </cell>
        </row>
        <row r="327">
          <cell r="B327" t="str">
            <v>OAS2_0161_MR2</v>
          </cell>
          <cell r="C327" t="str">
            <v>Nondemented</v>
          </cell>
          <cell r="D327" t="str">
            <v>2</v>
          </cell>
          <cell r="E327">
            <v>454</v>
          </cell>
          <cell r="F327" t="str">
            <v>M</v>
          </cell>
          <cell r="G327" t="str">
            <v>R</v>
          </cell>
          <cell r="H327">
            <v>79</v>
          </cell>
          <cell r="I327">
            <v>16</v>
          </cell>
          <cell r="J327">
            <v>1</v>
          </cell>
          <cell r="K327">
            <v>30</v>
          </cell>
          <cell r="L327">
            <v>0</v>
          </cell>
          <cell r="M327">
            <v>1816.97</v>
          </cell>
          <cell r="N327">
            <v>0.73578299999999996</v>
          </cell>
          <cell r="O327">
            <v>0.96589499999999995</v>
          </cell>
        </row>
        <row r="328">
          <cell r="B328" t="str">
            <v>OAS2_0161_MR3</v>
          </cell>
          <cell r="C328" t="str">
            <v>Nondemented</v>
          </cell>
          <cell r="D328" t="str">
            <v>3</v>
          </cell>
          <cell r="E328">
            <v>1033</v>
          </cell>
          <cell r="F328" t="str">
            <v>M</v>
          </cell>
          <cell r="G328" t="str">
            <v>R</v>
          </cell>
          <cell r="H328">
            <v>80</v>
          </cell>
          <cell r="I328">
            <v>16</v>
          </cell>
          <cell r="J328">
            <v>1</v>
          </cell>
          <cell r="K328">
            <v>29</v>
          </cell>
          <cell r="L328">
            <v>0</v>
          </cell>
          <cell r="M328">
            <v>1829.7298255344799</v>
          </cell>
          <cell r="N328">
            <v>0.72376600000000002</v>
          </cell>
          <cell r="O328">
            <v>0.95915799999999996</v>
          </cell>
        </row>
        <row r="329">
          <cell r="B329" t="str">
            <v>OAS2_0162_MR1</v>
          </cell>
          <cell r="C329" t="str">
            <v>Demented</v>
          </cell>
          <cell r="D329" t="str">
            <v>1</v>
          </cell>
          <cell r="E329">
            <v>0</v>
          </cell>
          <cell r="F329" t="str">
            <v>M</v>
          </cell>
          <cell r="G329" t="str">
            <v>R</v>
          </cell>
          <cell r="H329">
            <v>82</v>
          </cell>
          <cell r="I329">
            <v>14</v>
          </cell>
          <cell r="J329">
            <v>2</v>
          </cell>
          <cell r="K329">
            <v>23</v>
          </cell>
          <cell r="L329">
            <v>0.5</v>
          </cell>
          <cell r="M329">
            <v>1514.18</v>
          </cell>
          <cell r="N329">
            <v>0.67766400000000004</v>
          </cell>
          <cell r="O329">
            <v>1.1590400000000001</v>
          </cell>
        </row>
        <row r="330">
          <cell r="B330" t="str">
            <v>OAS2_0162_MR2</v>
          </cell>
          <cell r="C330" t="str">
            <v>Demented</v>
          </cell>
          <cell r="D330" t="str">
            <v>2</v>
          </cell>
          <cell r="E330">
            <v>621</v>
          </cell>
          <cell r="F330" t="str">
            <v>M</v>
          </cell>
          <cell r="G330" t="str">
            <v>R</v>
          </cell>
          <cell r="H330">
            <v>84</v>
          </cell>
          <cell r="I330">
            <v>14</v>
          </cell>
          <cell r="J330">
            <v>2</v>
          </cell>
          <cell r="K330">
            <v>22</v>
          </cell>
          <cell r="L330">
            <v>0.5</v>
          </cell>
          <cell r="M330">
            <v>1550.13</v>
          </cell>
          <cell r="N330">
            <v>0.66468099999999997</v>
          </cell>
          <cell r="O330">
            <v>1.1321600000000001</v>
          </cell>
        </row>
        <row r="331">
          <cell r="B331" t="str">
            <v>OAS2_0164_MR1</v>
          </cell>
          <cell r="C331" t="str">
            <v>Demented</v>
          </cell>
          <cell r="D331" t="str">
            <v>1</v>
          </cell>
          <cell r="E331">
            <v>0</v>
          </cell>
          <cell r="F331" t="str">
            <v>M</v>
          </cell>
          <cell r="G331" t="str">
            <v>R</v>
          </cell>
          <cell r="H331">
            <v>77</v>
          </cell>
          <cell r="I331">
            <v>20</v>
          </cell>
          <cell r="J331">
            <v>1</v>
          </cell>
          <cell r="K331">
            <v>23</v>
          </cell>
          <cell r="L331">
            <v>1</v>
          </cell>
          <cell r="M331">
            <v>1713.44</v>
          </cell>
          <cell r="N331">
            <v>0.75612199999999996</v>
          </cell>
          <cell r="O331">
            <v>1.0242599999999999</v>
          </cell>
        </row>
        <row r="332">
          <cell r="B332" t="str">
            <v>OAS2_0164_MR2</v>
          </cell>
          <cell r="C332" t="str">
            <v>Demented</v>
          </cell>
          <cell r="D332" t="str">
            <v>2</v>
          </cell>
          <cell r="E332">
            <v>580</v>
          </cell>
          <cell r="F332" t="str">
            <v>M</v>
          </cell>
          <cell r="G332" t="str">
            <v>R</v>
          </cell>
          <cell r="H332">
            <v>79</v>
          </cell>
          <cell r="I332">
            <v>20</v>
          </cell>
          <cell r="J332">
            <v>1</v>
          </cell>
          <cell r="K332">
            <v>25</v>
          </cell>
          <cell r="L332">
            <v>2</v>
          </cell>
          <cell r="M332">
            <v>1710.45</v>
          </cell>
          <cell r="N332">
            <v>0.75999000000000005</v>
          </cell>
          <cell r="O332">
            <v>1.0260400000000001</v>
          </cell>
        </row>
        <row r="333">
          <cell r="B333" t="str">
            <v>OAS2_0165_MR1</v>
          </cell>
          <cell r="C333" t="str">
            <v>Demented</v>
          </cell>
          <cell r="D333" t="str">
            <v>1</v>
          </cell>
          <cell r="E333">
            <v>0</v>
          </cell>
          <cell r="F333" t="str">
            <v>M</v>
          </cell>
          <cell r="G333" t="str">
            <v>R</v>
          </cell>
          <cell r="H333">
            <v>78</v>
          </cell>
          <cell r="I333">
            <v>12</v>
          </cell>
          <cell r="J333">
            <v>3</v>
          </cell>
          <cell r="K333">
            <v>23</v>
          </cell>
          <cell r="L333">
            <v>1</v>
          </cell>
          <cell r="M333">
            <v>1491.22</v>
          </cell>
          <cell r="N333">
            <v>0.70988399999999996</v>
          </cell>
          <cell r="O333">
            <v>1.17689</v>
          </cell>
        </row>
        <row r="334">
          <cell r="B334" t="str">
            <v>OAS2_0165_MR2</v>
          </cell>
          <cell r="C334" t="str">
            <v>Demented</v>
          </cell>
          <cell r="D334" t="str">
            <v>2</v>
          </cell>
          <cell r="E334">
            <v>736</v>
          </cell>
          <cell r="F334" t="str">
            <v>M</v>
          </cell>
          <cell r="G334" t="str">
            <v>R</v>
          </cell>
          <cell r="H334">
            <v>80</v>
          </cell>
          <cell r="I334">
            <v>12</v>
          </cell>
          <cell r="J334">
            <v>3</v>
          </cell>
          <cell r="K334">
            <v>17</v>
          </cell>
          <cell r="L334">
            <v>1</v>
          </cell>
          <cell r="M334">
            <v>1755</v>
          </cell>
          <cell r="N334">
            <v>0.69605700000000004</v>
          </cell>
          <cell r="O334">
            <v>1</v>
          </cell>
        </row>
        <row r="335">
          <cell r="B335" t="str">
            <v>OAS2_0169_MR1</v>
          </cell>
          <cell r="C335" t="str">
            <v>Nondemented</v>
          </cell>
          <cell r="D335" t="str">
            <v>1</v>
          </cell>
          <cell r="E335">
            <v>0</v>
          </cell>
          <cell r="F335" t="str">
            <v>F</v>
          </cell>
          <cell r="G335" t="str">
            <v>R</v>
          </cell>
          <cell r="H335">
            <v>71</v>
          </cell>
          <cell r="I335">
            <v>18</v>
          </cell>
          <cell r="J335">
            <v>1</v>
          </cell>
          <cell r="K335">
            <v>30</v>
          </cell>
          <cell r="L335">
            <v>0</v>
          </cell>
          <cell r="M335">
            <v>1425.78</v>
          </cell>
          <cell r="N335">
            <v>0.73101700000000003</v>
          </cell>
          <cell r="O335">
            <v>1.2309099999999999</v>
          </cell>
        </row>
        <row r="336">
          <cell r="B336" t="str">
            <v>OAS2_0169_MR2</v>
          </cell>
          <cell r="C336" t="str">
            <v>Nondemented</v>
          </cell>
          <cell r="D336" t="str">
            <v>2</v>
          </cell>
          <cell r="E336">
            <v>691</v>
          </cell>
          <cell r="F336" t="str">
            <v>F</v>
          </cell>
          <cell r="G336" t="str">
            <v>R</v>
          </cell>
          <cell r="H336">
            <v>73</v>
          </cell>
          <cell r="I336">
            <v>18</v>
          </cell>
          <cell r="J336">
            <v>1</v>
          </cell>
          <cell r="K336">
            <v>30</v>
          </cell>
          <cell r="L336">
            <v>0</v>
          </cell>
          <cell r="M336">
            <v>1414.33254786166</v>
          </cell>
          <cell r="N336">
            <v>0.73913300000000004</v>
          </cell>
          <cell r="O336">
            <v>1.2408680000000001</v>
          </cell>
        </row>
        <row r="337">
          <cell r="B337" t="str">
            <v>OAS2_0171_MR1</v>
          </cell>
          <cell r="C337" t="str">
            <v>Nondemented</v>
          </cell>
          <cell r="D337" t="str">
            <v>1</v>
          </cell>
          <cell r="E337">
            <v>0</v>
          </cell>
          <cell r="F337" t="str">
            <v>M</v>
          </cell>
          <cell r="G337" t="str">
            <v>R</v>
          </cell>
          <cell r="H337">
            <v>76</v>
          </cell>
          <cell r="I337">
            <v>16</v>
          </cell>
          <cell r="J337">
            <v>3</v>
          </cell>
          <cell r="K337">
            <v>30</v>
          </cell>
          <cell r="L337">
            <v>0</v>
          </cell>
          <cell r="M337">
            <v>1832.1</v>
          </cell>
          <cell r="N337">
            <v>0.76864699999999997</v>
          </cell>
          <cell r="O337">
            <v>0.95791800000000005</v>
          </cell>
        </row>
        <row r="338">
          <cell r="B338" t="str">
            <v>OAS2_0171_MR2</v>
          </cell>
          <cell r="C338" t="str">
            <v>Nondemented</v>
          </cell>
          <cell r="D338" t="str">
            <v>2</v>
          </cell>
          <cell r="E338">
            <v>493</v>
          </cell>
          <cell r="F338" t="str">
            <v>M</v>
          </cell>
          <cell r="G338" t="str">
            <v>R</v>
          </cell>
          <cell r="H338">
            <v>77</v>
          </cell>
          <cell r="I338">
            <v>16</v>
          </cell>
          <cell r="J338">
            <v>3</v>
          </cell>
          <cell r="K338">
            <v>30</v>
          </cell>
          <cell r="L338">
            <v>0</v>
          </cell>
          <cell r="M338">
            <v>1819.81</v>
          </cell>
          <cell r="N338">
            <v>0.76808699999999996</v>
          </cell>
          <cell r="O338">
            <v>0.96438800000000002</v>
          </cell>
        </row>
        <row r="339">
          <cell r="B339" t="str">
            <v>OAS2_0171_MR3</v>
          </cell>
          <cell r="C339" t="str">
            <v>Nondemented</v>
          </cell>
          <cell r="D339" t="str">
            <v>3</v>
          </cell>
          <cell r="E339">
            <v>1695</v>
          </cell>
          <cell r="F339" t="str">
            <v>M</v>
          </cell>
          <cell r="G339" t="str">
            <v>R</v>
          </cell>
          <cell r="H339">
            <v>81</v>
          </cell>
          <cell r="I339">
            <v>16</v>
          </cell>
          <cell r="J339">
            <v>3</v>
          </cell>
          <cell r="K339">
            <v>30</v>
          </cell>
          <cell r="L339">
            <v>0</v>
          </cell>
          <cell r="M339">
            <v>1836.1524289000999</v>
          </cell>
          <cell r="N339">
            <v>0.74393799999999999</v>
          </cell>
          <cell r="O339">
            <v>0.95580299999999996</v>
          </cell>
        </row>
        <row r="340">
          <cell r="B340" t="str">
            <v>OAS2_0172_MR1</v>
          </cell>
          <cell r="C340" t="str">
            <v>Demented</v>
          </cell>
          <cell r="D340" t="str">
            <v>1</v>
          </cell>
          <cell r="E340">
            <v>0</v>
          </cell>
          <cell r="F340" t="str">
            <v>M</v>
          </cell>
          <cell r="G340" t="str">
            <v>R</v>
          </cell>
          <cell r="H340">
            <v>75</v>
          </cell>
          <cell r="I340">
            <v>16</v>
          </cell>
          <cell r="J340">
            <v>1</v>
          </cell>
          <cell r="K340">
            <v>30</v>
          </cell>
          <cell r="L340">
            <v>0.5</v>
          </cell>
          <cell r="M340">
            <v>1890.57</v>
          </cell>
          <cell r="N340">
            <v>0.70944200000000002</v>
          </cell>
          <cell r="O340">
            <v>0.92829200000000001</v>
          </cell>
        </row>
        <row r="341">
          <cell r="B341" t="str">
            <v>OAS2_0172_MR2</v>
          </cell>
          <cell r="C341" t="str">
            <v>Demented</v>
          </cell>
          <cell r="D341" t="str">
            <v>2</v>
          </cell>
          <cell r="E341">
            <v>1212</v>
          </cell>
          <cell r="F341" t="str">
            <v>M</v>
          </cell>
          <cell r="G341" t="str">
            <v>R</v>
          </cell>
          <cell r="H341">
            <v>79</v>
          </cell>
          <cell r="I341">
            <v>16</v>
          </cell>
          <cell r="J341">
            <v>1</v>
          </cell>
          <cell r="K341">
            <v>29</v>
          </cell>
          <cell r="L341">
            <v>0.5</v>
          </cell>
          <cell r="M341">
            <v>1898.60476890572</v>
          </cell>
          <cell r="N341">
            <v>0.70019100000000001</v>
          </cell>
          <cell r="O341">
            <v>0.92436300000000005</v>
          </cell>
        </row>
        <row r="342">
          <cell r="B342" t="str">
            <v>OAS2_0174_MR1</v>
          </cell>
          <cell r="C342" t="str">
            <v>Nondemented</v>
          </cell>
          <cell r="D342" t="str">
            <v>1</v>
          </cell>
          <cell r="E342">
            <v>0</v>
          </cell>
          <cell r="F342" t="str">
            <v>M</v>
          </cell>
          <cell r="G342" t="str">
            <v>R</v>
          </cell>
          <cell r="H342">
            <v>60</v>
          </cell>
          <cell r="I342">
            <v>12</v>
          </cell>
          <cell r="J342">
            <v>4</v>
          </cell>
          <cell r="K342">
            <v>30</v>
          </cell>
          <cell r="L342">
            <v>0</v>
          </cell>
          <cell r="M342">
            <v>1378.77</v>
          </cell>
          <cell r="N342">
            <v>0.80571300000000001</v>
          </cell>
          <cell r="O342">
            <v>1.2728699999999999</v>
          </cell>
        </row>
        <row r="343">
          <cell r="B343" t="str">
            <v>OAS2_0174_MR2</v>
          </cell>
          <cell r="C343" t="str">
            <v>Nondemented</v>
          </cell>
          <cell r="D343" t="str">
            <v>2</v>
          </cell>
          <cell r="E343">
            <v>695</v>
          </cell>
          <cell r="F343" t="str">
            <v>M</v>
          </cell>
          <cell r="G343" t="str">
            <v>R</v>
          </cell>
          <cell r="H343">
            <v>62</v>
          </cell>
          <cell r="I343">
            <v>12</v>
          </cell>
          <cell r="J343">
            <v>4</v>
          </cell>
          <cell r="K343">
            <v>30</v>
          </cell>
          <cell r="L343">
            <v>0</v>
          </cell>
          <cell r="M343">
            <v>1377.61</v>
          </cell>
          <cell r="N343">
            <v>0.79493599999999998</v>
          </cell>
          <cell r="O343">
            <v>1.2739499999999999</v>
          </cell>
        </row>
        <row r="344">
          <cell r="B344" t="str">
            <v>OAS2_0174_MR3</v>
          </cell>
          <cell r="C344" t="str">
            <v>Nondemented</v>
          </cell>
          <cell r="D344" t="str">
            <v>3</v>
          </cell>
          <cell r="E344">
            <v>1555</v>
          </cell>
          <cell r="F344" t="str">
            <v>M</v>
          </cell>
          <cell r="G344" t="str">
            <v>R</v>
          </cell>
          <cell r="H344">
            <v>64</v>
          </cell>
          <cell r="I344">
            <v>12</v>
          </cell>
          <cell r="J344">
            <v>4</v>
          </cell>
          <cell r="K344">
            <v>30</v>
          </cell>
          <cell r="L344">
            <v>0</v>
          </cell>
          <cell r="M344">
            <v>1370.0084464338399</v>
          </cell>
          <cell r="N344">
            <v>0.79428100000000001</v>
          </cell>
          <cell r="O344">
            <v>1.2810140000000001</v>
          </cell>
        </row>
        <row r="345">
          <cell r="B345" t="str">
            <v>OAS2_0175_MR1</v>
          </cell>
          <cell r="C345" t="str">
            <v>Demented</v>
          </cell>
          <cell r="D345" t="str">
            <v>1</v>
          </cell>
          <cell r="E345">
            <v>0</v>
          </cell>
          <cell r="F345" t="str">
            <v>M</v>
          </cell>
          <cell r="G345" t="str">
            <v>R</v>
          </cell>
          <cell r="H345">
            <v>70</v>
          </cell>
          <cell r="I345">
            <v>16</v>
          </cell>
          <cell r="J345">
            <v>4</v>
          </cell>
          <cell r="K345">
            <v>26</v>
          </cell>
          <cell r="L345">
            <v>0.5</v>
          </cell>
          <cell r="M345">
            <v>1795.87</v>
          </cell>
          <cell r="N345">
            <v>0.74238899999999997</v>
          </cell>
          <cell r="O345">
            <v>0.97724100000000003</v>
          </cell>
        </row>
        <row r="346">
          <cell r="B346" t="str">
            <v>OAS2_0175_MR2</v>
          </cell>
          <cell r="C346" t="str">
            <v>Demented</v>
          </cell>
          <cell r="D346" t="str">
            <v>2</v>
          </cell>
          <cell r="E346">
            <v>700</v>
          </cell>
          <cell r="F346" t="str">
            <v>M</v>
          </cell>
          <cell r="G346" t="str">
            <v>R</v>
          </cell>
          <cell r="H346">
            <v>72</v>
          </cell>
          <cell r="I346">
            <v>16</v>
          </cell>
          <cell r="J346">
            <v>4</v>
          </cell>
          <cell r="K346">
            <v>28</v>
          </cell>
          <cell r="L346">
            <v>0.5</v>
          </cell>
          <cell r="M346">
            <v>1795.59</v>
          </cell>
          <cell r="N346">
            <v>0.73241800000000001</v>
          </cell>
          <cell r="O346">
            <v>0.97739600000000004</v>
          </cell>
        </row>
        <row r="347">
          <cell r="B347" t="str">
            <v>OAS2_0175_MR3</v>
          </cell>
          <cell r="C347" t="str">
            <v>Demented</v>
          </cell>
          <cell r="D347" t="str">
            <v>3</v>
          </cell>
          <cell r="E347">
            <v>1343</v>
          </cell>
          <cell r="F347" t="str">
            <v>M</v>
          </cell>
          <cell r="G347" t="str">
            <v>R</v>
          </cell>
          <cell r="H347">
            <v>73</v>
          </cell>
          <cell r="I347">
            <v>16</v>
          </cell>
          <cell r="J347">
            <v>4</v>
          </cell>
          <cell r="K347">
            <v>28</v>
          </cell>
          <cell r="L347">
            <v>0.5</v>
          </cell>
          <cell r="M347">
            <v>1802.9049884480501</v>
          </cell>
          <cell r="N347">
            <v>0.73088699999999995</v>
          </cell>
          <cell r="O347">
            <v>0.97342899999999999</v>
          </cell>
        </row>
        <row r="348">
          <cell r="B348" t="str">
            <v>OAS2_0176_MR1</v>
          </cell>
          <cell r="C348" t="str">
            <v>Converted</v>
          </cell>
          <cell r="D348" t="str">
            <v>1</v>
          </cell>
          <cell r="E348">
            <v>0</v>
          </cell>
          <cell r="F348" t="str">
            <v>M</v>
          </cell>
          <cell r="G348" t="str">
            <v>R</v>
          </cell>
          <cell r="H348">
            <v>84</v>
          </cell>
          <cell r="I348">
            <v>16</v>
          </cell>
          <cell r="J348">
            <v>2</v>
          </cell>
          <cell r="K348">
            <v>30</v>
          </cell>
          <cell r="L348">
            <v>0</v>
          </cell>
          <cell r="M348">
            <v>1404.07</v>
          </cell>
          <cell r="N348">
            <v>0.71013499999999996</v>
          </cell>
          <cell r="O348">
            <v>1.2499400000000001</v>
          </cell>
        </row>
        <row r="349">
          <cell r="B349" t="str">
            <v>OAS2_0176_MR2</v>
          </cell>
          <cell r="C349" t="str">
            <v>Converted</v>
          </cell>
          <cell r="D349" t="str">
            <v>2</v>
          </cell>
          <cell r="E349">
            <v>774</v>
          </cell>
          <cell r="F349" t="str">
            <v>M</v>
          </cell>
          <cell r="G349" t="str">
            <v>R</v>
          </cell>
          <cell r="H349">
            <v>87</v>
          </cell>
          <cell r="I349">
            <v>16</v>
          </cell>
          <cell r="J349">
            <v>2</v>
          </cell>
          <cell r="K349">
            <v>30</v>
          </cell>
          <cell r="L349">
            <v>0</v>
          </cell>
          <cell r="M349">
            <v>1397.96</v>
          </cell>
          <cell r="N349">
            <v>0.69637400000000005</v>
          </cell>
          <cell r="O349">
            <v>1.2554000000000001</v>
          </cell>
        </row>
        <row r="350">
          <cell r="B350" t="str">
            <v>OAS2_0176_MR3</v>
          </cell>
          <cell r="C350" t="str">
            <v>Converted</v>
          </cell>
          <cell r="D350" t="str">
            <v>3</v>
          </cell>
          <cell r="E350">
            <v>1631</v>
          </cell>
          <cell r="F350" t="str">
            <v>M</v>
          </cell>
          <cell r="G350" t="str">
            <v>R</v>
          </cell>
          <cell r="H350">
            <v>89</v>
          </cell>
          <cell r="I350">
            <v>16</v>
          </cell>
          <cell r="J350">
            <v>2</v>
          </cell>
          <cell r="K350">
            <v>30</v>
          </cell>
          <cell r="L350">
            <v>0.5</v>
          </cell>
          <cell r="M350">
            <v>1408.4936581670199</v>
          </cell>
          <cell r="N350">
            <v>0.67923999999999995</v>
          </cell>
          <cell r="O350">
            <v>1.2460119999999999</v>
          </cell>
        </row>
        <row r="351">
          <cell r="B351" t="str">
            <v>OAS2_0177_MR1</v>
          </cell>
          <cell r="C351" t="str">
            <v>Nondemented</v>
          </cell>
          <cell r="D351" t="str">
            <v>1</v>
          </cell>
          <cell r="E351">
            <v>0</v>
          </cell>
          <cell r="F351" t="str">
            <v>M</v>
          </cell>
          <cell r="G351" t="str">
            <v>R</v>
          </cell>
          <cell r="H351">
            <v>68</v>
          </cell>
          <cell r="I351">
            <v>14</v>
          </cell>
          <cell r="J351">
            <v>3</v>
          </cell>
          <cell r="K351">
            <v>26</v>
          </cell>
          <cell r="L351">
            <v>0</v>
          </cell>
          <cell r="M351">
            <v>1443.71</v>
          </cell>
          <cell r="N351">
            <v>0.77804200000000001</v>
          </cell>
          <cell r="O351">
            <v>1.2156100000000001</v>
          </cell>
        </row>
        <row r="352">
          <cell r="B352" t="str">
            <v>OAS2_0177_MR2</v>
          </cell>
          <cell r="C352" t="str">
            <v>Nondemented</v>
          </cell>
          <cell r="D352" t="str">
            <v>2</v>
          </cell>
          <cell r="E352">
            <v>665</v>
          </cell>
          <cell r="F352" t="str">
            <v>M</v>
          </cell>
          <cell r="G352" t="str">
            <v>R</v>
          </cell>
          <cell r="H352">
            <v>70</v>
          </cell>
          <cell r="I352">
            <v>14</v>
          </cell>
          <cell r="J352">
            <v>3</v>
          </cell>
          <cell r="K352">
            <v>28</v>
          </cell>
          <cell r="L352">
            <v>0</v>
          </cell>
          <cell r="M352">
            <v>1510.36</v>
          </cell>
          <cell r="N352">
            <v>0.77006799999999997</v>
          </cell>
          <cell r="O352">
            <v>1.16198</v>
          </cell>
        </row>
        <row r="353">
          <cell r="B353" t="str">
            <v>OAS2_0178_MR1</v>
          </cell>
          <cell r="C353" t="str">
            <v>Nondemented</v>
          </cell>
          <cell r="D353" t="str">
            <v>1</v>
          </cell>
          <cell r="E353">
            <v>0</v>
          </cell>
          <cell r="F353" t="str">
            <v>F</v>
          </cell>
          <cell r="G353" t="str">
            <v>R</v>
          </cell>
          <cell r="H353">
            <v>89</v>
          </cell>
          <cell r="I353">
            <v>14</v>
          </cell>
          <cell r="J353">
            <v>2</v>
          </cell>
          <cell r="K353">
            <v>29</v>
          </cell>
          <cell r="L353">
            <v>0</v>
          </cell>
          <cell r="M353">
            <v>1508.86</v>
          </cell>
          <cell r="N353">
            <v>0.75571299999999997</v>
          </cell>
          <cell r="O353">
            <v>1.16313</v>
          </cell>
        </row>
        <row r="354">
          <cell r="B354" t="str">
            <v>OAS2_0178_MR2</v>
          </cell>
          <cell r="C354" t="str">
            <v>Nondemented</v>
          </cell>
          <cell r="D354" t="str">
            <v>2</v>
          </cell>
          <cell r="E354">
            <v>600</v>
          </cell>
          <cell r="F354" t="str">
            <v>F</v>
          </cell>
          <cell r="G354" t="str">
            <v>R</v>
          </cell>
          <cell r="H354">
            <v>90</v>
          </cell>
          <cell r="I354">
            <v>14</v>
          </cell>
          <cell r="J354">
            <v>2</v>
          </cell>
          <cell r="K354">
            <v>28</v>
          </cell>
          <cell r="L354">
            <v>0</v>
          </cell>
          <cell r="M354">
            <v>1495.32</v>
          </cell>
          <cell r="N354">
            <v>0.74643000000000004</v>
          </cell>
          <cell r="O354">
            <v>1.1736599999999999</v>
          </cell>
        </row>
        <row r="355">
          <cell r="B355" t="str">
            <v>OAS2_0178_MR3</v>
          </cell>
          <cell r="C355" t="str">
            <v>Nondemented</v>
          </cell>
          <cell r="D355" t="str">
            <v>3</v>
          </cell>
          <cell r="E355">
            <v>1447</v>
          </cell>
          <cell r="F355" t="str">
            <v>F</v>
          </cell>
          <cell r="G355" t="str">
            <v>R</v>
          </cell>
          <cell r="H355">
            <v>93</v>
          </cell>
          <cell r="I355">
            <v>14</v>
          </cell>
          <cell r="J355">
            <v>2</v>
          </cell>
          <cell r="K355">
            <v>30</v>
          </cell>
          <cell r="L355">
            <v>0</v>
          </cell>
          <cell r="M355">
            <v>1488.26433609842</v>
          </cell>
          <cell r="N355">
            <v>0.73530799999999996</v>
          </cell>
          <cell r="O355">
            <v>1.1792260000000001</v>
          </cell>
        </row>
        <row r="356">
          <cell r="B356" t="str">
            <v>OAS2_0179_MR1</v>
          </cell>
          <cell r="C356" t="str">
            <v>Demented</v>
          </cell>
          <cell r="D356" t="str">
            <v>1</v>
          </cell>
          <cell r="E356">
            <v>0</v>
          </cell>
          <cell r="F356" t="str">
            <v>M</v>
          </cell>
          <cell r="G356" t="str">
            <v>R</v>
          </cell>
          <cell r="H356">
            <v>79</v>
          </cell>
          <cell r="I356">
            <v>20</v>
          </cell>
          <cell r="J356">
            <v>1</v>
          </cell>
          <cell r="K356">
            <v>26</v>
          </cell>
          <cell r="L356">
            <v>0.5</v>
          </cell>
          <cell r="M356">
            <v>1548.02</v>
          </cell>
          <cell r="N356">
            <v>0.71054600000000001</v>
          </cell>
          <cell r="O356">
            <v>1.13371</v>
          </cell>
        </row>
        <row r="357">
          <cell r="B357" t="str">
            <v>OAS2_0179_MR2</v>
          </cell>
          <cell r="C357" t="str">
            <v>Demented</v>
          </cell>
          <cell r="D357" t="str">
            <v>2</v>
          </cell>
          <cell r="E357">
            <v>652</v>
          </cell>
          <cell r="F357" t="str">
            <v>M</v>
          </cell>
          <cell r="G357" t="str">
            <v>R</v>
          </cell>
          <cell r="H357">
            <v>81</v>
          </cell>
          <cell r="I357">
            <v>20</v>
          </cell>
          <cell r="J357">
            <v>1</v>
          </cell>
          <cell r="K357">
            <v>26</v>
          </cell>
          <cell r="L357">
            <v>0.5</v>
          </cell>
          <cell r="M357">
            <v>1555.88</v>
          </cell>
          <cell r="N357">
            <v>0.69073899999999999</v>
          </cell>
          <cell r="O357">
            <v>1.12798</v>
          </cell>
        </row>
        <row r="358">
          <cell r="B358" t="str">
            <v>OAS2_0181_MR1</v>
          </cell>
          <cell r="C358" t="str">
            <v>Demented</v>
          </cell>
          <cell r="D358" t="str">
            <v>1</v>
          </cell>
          <cell r="E358">
            <v>0</v>
          </cell>
          <cell r="F358" t="str">
            <v>F</v>
          </cell>
          <cell r="G358" t="str">
            <v>R</v>
          </cell>
          <cell r="H358">
            <v>74</v>
          </cell>
          <cell r="I358">
            <v>12</v>
          </cell>
          <cell r="K358">
            <v>26</v>
          </cell>
          <cell r="L358">
            <v>0.5</v>
          </cell>
          <cell r="M358">
            <v>1170.6300000000001</v>
          </cell>
          <cell r="N358">
            <v>0.73275100000000004</v>
          </cell>
          <cell r="O358">
            <v>1.49919</v>
          </cell>
        </row>
        <row r="359">
          <cell r="B359" t="str">
            <v>OAS2_0181_MR2</v>
          </cell>
          <cell r="C359" t="str">
            <v>Demented</v>
          </cell>
          <cell r="D359" t="str">
            <v>2</v>
          </cell>
          <cell r="E359">
            <v>539</v>
          </cell>
          <cell r="F359" t="str">
            <v>F</v>
          </cell>
          <cell r="G359" t="str">
            <v>R</v>
          </cell>
          <cell r="H359">
            <v>75</v>
          </cell>
          <cell r="I359">
            <v>12</v>
          </cell>
          <cell r="L359">
            <v>1</v>
          </cell>
          <cell r="M359">
            <v>1168.93</v>
          </cell>
          <cell r="N359">
            <v>0.741645</v>
          </cell>
          <cell r="O359">
            <v>1.5013700000000001</v>
          </cell>
        </row>
        <row r="360">
          <cell r="B360" t="str">
            <v>OAS2_0181_MR3</v>
          </cell>
          <cell r="C360" t="str">
            <v>Demented</v>
          </cell>
          <cell r="D360" t="str">
            <v>3</v>
          </cell>
          <cell r="E360">
            <v>1107</v>
          </cell>
          <cell r="F360" t="str">
            <v>F</v>
          </cell>
          <cell r="G360" t="str">
            <v>R</v>
          </cell>
          <cell r="H360">
            <v>77</v>
          </cell>
          <cell r="I360">
            <v>12</v>
          </cell>
          <cell r="L360">
            <v>1</v>
          </cell>
          <cell r="M360">
            <v>1158.5672582951399</v>
          </cell>
          <cell r="N360">
            <v>0.73276699999999995</v>
          </cell>
          <cell r="O360">
            <v>1.514802</v>
          </cell>
        </row>
        <row r="361">
          <cell r="B361" t="str">
            <v>OAS2_0182_MR1</v>
          </cell>
          <cell r="C361" t="str">
            <v>Demented</v>
          </cell>
          <cell r="D361" t="str">
            <v>1</v>
          </cell>
          <cell r="E361">
            <v>0</v>
          </cell>
          <cell r="F361" t="str">
            <v>M</v>
          </cell>
          <cell r="G361" t="str">
            <v>R</v>
          </cell>
          <cell r="H361">
            <v>73</v>
          </cell>
          <cell r="I361">
            <v>12</v>
          </cell>
          <cell r="K361">
            <v>23</v>
          </cell>
          <cell r="L361">
            <v>0.5</v>
          </cell>
          <cell r="M361">
            <v>1661.27</v>
          </cell>
          <cell r="N361">
            <v>0.69756300000000004</v>
          </cell>
          <cell r="O361">
            <v>1.0564199999999999</v>
          </cell>
        </row>
        <row r="362">
          <cell r="B362" t="str">
            <v>OAS2_0182_MR2</v>
          </cell>
          <cell r="C362" t="str">
            <v>Demented</v>
          </cell>
          <cell r="D362" t="str">
            <v>2</v>
          </cell>
          <cell r="E362">
            <v>776</v>
          </cell>
          <cell r="F362" t="str">
            <v>M</v>
          </cell>
          <cell r="G362" t="str">
            <v>R</v>
          </cell>
          <cell r="H362">
            <v>75</v>
          </cell>
          <cell r="I362">
            <v>12</v>
          </cell>
          <cell r="K362">
            <v>20</v>
          </cell>
          <cell r="L362">
            <v>0.5</v>
          </cell>
          <cell r="M362">
            <v>1653.7289467584101</v>
          </cell>
          <cell r="N362">
            <v>0.69609699999999997</v>
          </cell>
          <cell r="O362">
            <v>1.0612379999999999</v>
          </cell>
        </row>
        <row r="363">
          <cell r="B363" t="str">
            <v>OAS2_0183_MR1</v>
          </cell>
          <cell r="C363" t="str">
            <v>Nondemented</v>
          </cell>
          <cell r="D363" t="str">
            <v>1</v>
          </cell>
          <cell r="E363">
            <v>0</v>
          </cell>
          <cell r="F363" t="str">
            <v>F</v>
          </cell>
          <cell r="G363" t="str">
            <v>R</v>
          </cell>
          <cell r="H363">
            <v>66</v>
          </cell>
          <cell r="I363">
            <v>13</v>
          </cell>
          <cell r="J363">
            <v>2</v>
          </cell>
          <cell r="K363">
            <v>30</v>
          </cell>
          <cell r="L363">
            <v>0</v>
          </cell>
          <cell r="M363">
            <v>1495.24</v>
          </cell>
          <cell r="N363">
            <v>0.74630200000000002</v>
          </cell>
          <cell r="O363">
            <v>1.1737299999999999</v>
          </cell>
        </row>
        <row r="364">
          <cell r="B364" t="str">
            <v>OAS2_0183_MR2</v>
          </cell>
          <cell r="C364" t="str">
            <v>Nondemented</v>
          </cell>
          <cell r="D364" t="str">
            <v>2</v>
          </cell>
          <cell r="E364">
            <v>182</v>
          </cell>
          <cell r="F364" t="str">
            <v>F</v>
          </cell>
          <cell r="G364" t="str">
            <v>R</v>
          </cell>
          <cell r="H364">
            <v>66</v>
          </cell>
          <cell r="I364">
            <v>13</v>
          </cell>
          <cell r="J364">
            <v>2</v>
          </cell>
          <cell r="K364">
            <v>30</v>
          </cell>
          <cell r="L364">
            <v>0</v>
          </cell>
          <cell r="M364">
            <v>1506.12</v>
          </cell>
          <cell r="N364">
            <v>0.73996899999999999</v>
          </cell>
          <cell r="O364">
            <v>1.1652499999999999</v>
          </cell>
        </row>
        <row r="365">
          <cell r="B365" t="str">
            <v>OAS2_0183_MR3</v>
          </cell>
          <cell r="C365" t="str">
            <v>Nondemented</v>
          </cell>
          <cell r="D365" t="str">
            <v>3</v>
          </cell>
          <cell r="E365">
            <v>732</v>
          </cell>
          <cell r="F365" t="str">
            <v>F</v>
          </cell>
          <cell r="G365" t="str">
            <v>R</v>
          </cell>
          <cell r="H365">
            <v>68</v>
          </cell>
          <cell r="I365">
            <v>13</v>
          </cell>
          <cell r="J365">
            <v>2</v>
          </cell>
          <cell r="K365">
            <v>30</v>
          </cell>
          <cell r="L365">
            <v>0</v>
          </cell>
          <cell r="M365">
            <v>1505.93</v>
          </cell>
          <cell r="N365">
            <v>0.74005799999999999</v>
          </cell>
          <cell r="O365">
            <v>1.1653899999999999</v>
          </cell>
        </row>
        <row r="366">
          <cell r="B366" t="str">
            <v>OAS2_0183_MR4</v>
          </cell>
          <cell r="C366" t="str">
            <v>Nondemented</v>
          </cell>
          <cell r="D366" t="str">
            <v>4</v>
          </cell>
          <cell r="E366">
            <v>2107</v>
          </cell>
          <cell r="F366" t="str">
            <v>F</v>
          </cell>
          <cell r="G366" t="str">
            <v>R</v>
          </cell>
          <cell r="H366">
            <v>72</v>
          </cell>
          <cell r="I366">
            <v>13</v>
          </cell>
          <cell r="J366">
            <v>2</v>
          </cell>
          <cell r="K366">
            <v>30</v>
          </cell>
          <cell r="L366">
            <v>0</v>
          </cell>
          <cell r="M366">
            <v>1509.7800194593899</v>
          </cell>
          <cell r="N366">
            <v>0.72341299999999997</v>
          </cell>
          <cell r="O366">
            <v>1.1624209999999999</v>
          </cell>
        </row>
        <row r="367">
          <cell r="B367" t="str">
            <v>OAS2_0184_MR1</v>
          </cell>
          <cell r="C367" t="str">
            <v>Demented</v>
          </cell>
          <cell r="D367" t="str">
            <v>1</v>
          </cell>
          <cell r="E367">
            <v>0</v>
          </cell>
          <cell r="F367" t="str">
            <v>F</v>
          </cell>
          <cell r="G367" t="str">
            <v>R</v>
          </cell>
          <cell r="H367">
            <v>72</v>
          </cell>
          <cell r="I367">
            <v>16</v>
          </cell>
          <cell r="J367">
            <v>3</v>
          </cell>
          <cell r="K367">
            <v>24</v>
          </cell>
          <cell r="L367">
            <v>0.5</v>
          </cell>
          <cell r="M367">
            <v>1353.81</v>
          </cell>
          <cell r="N367">
            <v>0.73309800000000003</v>
          </cell>
          <cell r="O367">
            <v>1.29634</v>
          </cell>
        </row>
        <row r="368">
          <cell r="B368" t="str">
            <v>OAS2_0184_MR2</v>
          </cell>
          <cell r="C368" t="str">
            <v>Demented</v>
          </cell>
          <cell r="D368" t="str">
            <v>2</v>
          </cell>
          <cell r="E368">
            <v>553</v>
          </cell>
          <cell r="F368" t="str">
            <v>F</v>
          </cell>
          <cell r="G368" t="str">
            <v>R</v>
          </cell>
          <cell r="H368">
            <v>73</v>
          </cell>
          <cell r="I368">
            <v>16</v>
          </cell>
          <cell r="J368">
            <v>3</v>
          </cell>
          <cell r="K368">
            <v>21</v>
          </cell>
          <cell r="L368">
            <v>1</v>
          </cell>
          <cell r="M368">
            <v>1350.9019868650801</v>
          </cell>
          <cell r="N368">
            <v>0.70780600000000005</v>
          </cell>
          <cell r="O368">
            <v>1.299132</v>
          </cell>
        </row>
        <row r="369">
          <cell r="B369" t="str">
            <v>OAS2_0185_MR1</v>
          </cell>
          <cell r="C369" t="str">
            <v>Demented</v>
          </cell>
          <cell r="D369" t="str">
            <v>1</v>
          </cell>
          <cell r="E369">
            <v>0</v>
          </cell>
          <cell r="F369" t="str">
            <v>M</v>
          </cell>
          <cell r="G369" t="str">
            <v>R</v>
          </cell>
          <cell r="H369">
            <v>80</v>
          </cell>
          <cell r="I369">
            <v>16</v>
          </cell>
          <cell r="J369">
            <v>1</v>
          </cell>
          <cell r="K369">
            <v>28</v>
          </cell>
          <cell r="L369">
            <v>0.5</v>
          </cell>
          <cell r="M369">
            <v>1703.59</v>
          </cell>
          <cell r="N369">
            <v>0.71054200000000001</v>
          </cell>
          <cell r="O369">
            <v>1.0301800000000001</v>
          </cell>
        </row>
        <row r="370">
          <cell r="B370" t="str">
            <v>OAS2_0185_MR2</v>
          </cell>
          <cell r="C370" t="str">
            <v>Demented</v>
          </cell>
          <cell r="D370" t="str">
            <v>2</v>
          </cell>
          <cell r="E370">
            <v>842</v>
          </cell>
          <cell r="F370" t="str">
            <v>M</v>
          </cell>
          <cell r="G370" t="str">
            <v>R</v>
          </cell>
          <cell r="H370">
            <v>82</v>
          </cell>
          <cell r="I370">
            <v>16</v>
          </cell>
          <cell r="J370">
            <v>1</v>
          </cell>
          <cell r="K370">
            <v>28</v>
          </cell>
          <cell r="L370">
            <v>0.5</v>
          </cell>
          <cell r="M370">
            <v>1692.88</v>
          </cell>
          <cell r="N370">
            <v>0.69392600000000004</v>
          </cell>
          <cell r="O370">
            <v>1.0366899999999999</v>
          </cell>
        </row>
        <row r="371">
          <cell r="B371" t="str">
            <v>OAS2_0185_MR3</v>
          </cell>
          <cell r="C371" t="str">
            <v>Demented</v>
          </cell>
          <cell r="D371" t="str">
            <v>3</v>
          </cell>
          <cell r="E371">
            <v>2297</v>
          </cell>
          <cell r="F371" t="str">
            <v>M</v>
          </cell>
          <cell r="G371" t="str">
            <v>R</v>
          </cell>
          <cell r="H371">
            <v>86</v>
          </cell>
          <cell r="I371">
            <v>16</v>
          </cell>
          <cell r="J371">
            <v>1</v>
          </cell>
          <cell r="K371">
            <v>26</v>
          </cell>
          <cell r="L371">
            <v>0.5</v>
          </cell>
          <cell r="M371">
            <v>1688.0096490671201</v>
          </cell>
          <cell r="N371">
            <v>0.67545699999999997</v>
          </cell>
          <cell r="O371">
            <v>1.0396860000000001</v>
          </cell>
        </row>
        <row r="372">
          <cell r="B372" t="str">
            <v>OAS2_0186_MR1</v>
          </cell>
          <cell r="C372" t="str">
            <v>Nondemented</v>
          </cell>
          <cell r="D372" t="str">
            <v>1</v>
          </cell>
          <cell r="E372">
            <v>0</v>
          </cell>
          <cell r="F372" t="str">
            <v>F</v>
          </cell>
          <cell r="G372" t="str">
            <v>R</v>
          </cell>
          <cell r="H372">
            <v>61</v>
          </cell>
          <cell r="I372">
            <v>13</v>
          </cell>
          <cell r="J372">
            <v>2</v>
          </cell>
          <cell r="K372">
            <v>30</v>
          </cell>
          <cell r="L372">
            <v>0</v>
          </cell>
          <cell r="M372">
            <v>1319.02</v>
          </cell>
          <cell r="N372">
            <v>0.801006</v>
          </cell>
          <cell r="O372">
            <v>1.3305400000000001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8"/>
  <sheetViews>
    <sheetView tabSelected="1" workbookViewId="0">
      <selection activeCell="M16" sqref="M16"/>
    </sheetView>
  </sheetViews>
  <sheetFormatPr defaultRowHeight="16.5"/>
  <cols>
    <col min="1" max="1" width="11.875" bestFit="1" customWidth="1"/>
    <col min="2" max="2" width="19" bestFit="1" customWidth="1"/>
  </cols>
  <sheetData>
    <row r="1" spans="1:6" s="2" customFormat="1">
      <c r="A1" s="1" t="s">
        <v>308</v>
      </c>
      <c r="B1" s="1" t="s">
        <v>0</v>
      </c>
      <c r="C1" s="2" t="s">
        <v>309</v>
      </c>
      <c r="D1" s="2" t="s">
        <v>310</v>
      </c>
      <c r="E1" s="2" t="s">
        <v>311</v>
      </c>
      <c r="F1" s="3" t="s">
        <v>619</v>
      </c>
    </row>
    <row r="2" spans="1:6">
      <c r="A2" t="s">
        <v>1</v>
      </c>
      <c r="B2" t="s">
        <v>312</v>
      </c>
      <c r="C2">
        <f>VLOOKUP(B2,'[1]oasis_cross-sectional'!A$1:K$236,4,FALSE)</f>
        <v>74</v>
      </c>
      <c r="D2">
        <f>VLOOKUP(B2,'[1]oasis_cross-sectional'!A$1:K$236,7,FALSE)</f>
        <v>29</v>
      </c>
      <c r="E2" t="s">
        <v>620</v>
      </c>
      <c r="F2" t="str">
        <f>VLOOKUP(B2,'[1]oasis_cross-sectional'!A$1:K$236,2,FALSE)</f>
        <v>F</v>
      </c>
    </row>
    <row r="3" spans="1:6">
      <c r="A3" t="s">
        <v>2</v>
      </c>
      <c r="B3" t="s">
        <v>313</v>
      </c>
      <c r="C3">
        <f>VLOOKUP(B3,'[1]oasis_cross-sectional'!A$1:K$236,4,FALSE)</f>
        <v>55</v>
      </c>
      <c r="D3">
        <f>VLOOKUP(B3,'[1]oasis_cross-sectional'!A$1:K$236,7,FALSE)</f>
        <v>29</v>
      </c>
      <c r="E3" t="s">
        <v>620</v>
      </c>
      <c r="F3" t="str">
        <f>VLOOKUP(B3,'[1]oasis_cross-sectional'!A$1:K$236,2,FALSE)</f>
        <v>F</v>
      </c>
    </row>
    <row r="4" spans="1:6">
      <c r="A4" t="s">
        <v>3</v>
      </c>
      <c r="B4" t="s">
        <v>314</v>
      </c>
      <c r="C4">
        <f>VLOOKUP(B4,'[1]oasis_cross-sectional'!A$1:K$236,4,FALSE)</f>
        <v>73</v>
      </c>
      <c r="D4">
        <f>VLOOKUP(B4,'[1]oasis_cross-sectional'!A$1:K$236,7,FALSE)</f>
        <v>27</v>
      </c>
      <c r="E4" t="s">
        <v>620</v>
      </c>
      <c r="F4" t="str">
        <f>VLOOKUP(B4,'[1]oasis_cross-sectional'!A$1:K$236,2,FALSE)</f>
        <v>F</v>
      </c>
    </row>
    <row r="5" spans="1:6">
      <c r="A5" t="s">
        <v>4</v>
      </c>
      <c r="B5" t="s">
        <v>315</v>
      </c>
      <c r="C5">
        <f>VLOOKUP(B5,'[1]oasis_cross-sectional'!A$1:K$236,4,FALSE)</f>
        <v>74</v>
      </c>
      <c r="D5">
        <f>VLOOKUP(B5,'[1]oasis_cross-sectional'!A$1:K$236,7,FALSE)</f>
        <v>30</v>
      </c>
      <c r="E5" t="s">
        <v>620</v>
      </c>
      <c r="F5" t="str">
        <f>VLOOKUP(B5,'[1]oasis_cross-sectional'!A$1:K$236,2,FALSE)</f>
        <v>M</v>
      </c>
    </row>
    <row r="6" spans="1:6">
      <c r="A6" t="s">
        <v>5</v>
      </c>
      <c r="B6" t="s">
        <v>316</v>
      </c>
      <c r="C6">
        <f>VLOOKUP(B6,'[1]oasis_cross-sectional'!A$1:K$236,4,FALSE)</f>
        <v>52</v>
      </c>
      <c r="D6">
        <f>VLOOKUP(B6,'[1]oasis_cross-sectional'!A$1:K$236,7,FALSE)</f>
        <v>30</v>
      </c>
      <c r="E6" t="s">
        <v>620</v>
      </c>
      <c r="F6" t="str">
        <f>VLOOKUP(B6,'[1]oasis_cross-sectional'!A$1:K$236,2,FALSE)</f>
        <v>F</v>
      </c>
    </row>
    <row r="7" spans="1:6">
      <c r="A7" t="s">
        <v>6</v>
      </c>
      <c r="B7" t="s">
        <v>317</v>
      </c>
      <c r="C7">
        <f>VLOOKUP(B7,'[1]oasis_cross-sectional'!A$1:K$236,4,FALSE)</f>
        <v>81</v>
      </c>
      <c r="D7">
        <f>VLOOKUP(B7,'[1]oasis_cross-sectional'!A$1:K$236,7,FALSE)</f>
        <v>30</v>
      </c>
      <c r="E7" t="s">
        <v>620</v>
      </c>
      <c r="F7" t="str">
        <f>VLOOKUP(B7,'[1]oasis_cross-sectional'!A$1:K$236,2,FALSE)</f>
        <v>F</v>
      </c>
    </row>
    <row r="8" spans="1:6">
      <c r="A8" t="s">
        <v>7</v>
      </c>
      <c r="B8" t="s">
        <v>318</v>
      </c>
      <c r="C8">
        <f>VLOOKUP(B8,'[1]oasis_cross-sectional'!A$1:K$236,4,FALSE)</f>
        <v>76</v>
      </c>
      <c r="D8">
        <f>VLOOKUP(B8,'[1]oasis_cross-sectional'!A$1:K$236,7,FALSE)</f>
        <v>28</v>
      </c>
      <c r="E8" t="s">
        <v>620</v>
      </c>
      <c r="F8" t="str">
        <f>VLOOKUP(B8,'[1]oasis_cross-sectional'!A$1:K$236,2,FALSE)</f>
        <v>M</v>
      </c>
    </row>
    <row r="9" spans="1:6">
      <c r="A9" t="s">
        <v>8</v>
      </c>
      <c r="B9" t="s">
        <v>319</v>
      </c>
      <c r="C9">
        <f>VLOOKUP(B9,'[1]oasis_cross-sectional'!A$1:K$236,4,FALSE)</f>
        <v>82</v>
      </c>
      <c r="D9">
        <f>VLOOKUP(B9,'[1]oasis_cross-sectional'!A$1:K$236,7,FALSE)</f>
        <v>27</v>
      </c>
      <c r="E9" t="s">
        <v>620</v>
      </c>
      <c r="F9" t="str">
        <f>VLOOKUP(B9,'[1]oasis_cross-sectional'!A$1:K$236,2,FALSE)</f>
        <v>M</v>
      </c>
    </row>
    <row r="10" spans="1:6">
      <c r="A10" t="s">
        <v>9</v>
      </c>
      <c r="B10" t="s">
        <v>320</v>
      </c>
      <c r="C10">
        <f>VLOOKUP(B10,'[1]oasis_cross-sectional'!A$1:K$236,4,FALSE)</f>
        <v>39</v>
      </c>
      <c r="D10">
        <f>VLOOKUP(B10,'[1]oasis_cross-sectional'!A$1:K$236,7,FALSE)</f>
        <v>28</v>
      </c>
      <c r="E10" t="s">
        <v>620</v>
      </c>
      <c r="F10" t="str">
        <f>VLOOKUP(B10,'[1]oasis_cross-sectional'!A$1:K$236,2,FALSE)</f>
        <v>M</v>
      </c>
    </row>
    <row r="11" spans="1:6">
      <c r="A11" t="s">
        <v>10</v>
      </c>
      <c r="B11" t="s">
        <v>321</v>
      </c>
      <c r="C11">
        <f>VLOOKUP(B11,'[1]oasis_cross-sectional'!A$1:K$236,4,FALSE)</f>
        <v>89</v>
      </c>
      <c r="D11">
        <f>VLOOKUP(B11,'[1]oasis_cross-sectional'!A$1:K$236,7,FALSE)</f>
        <v>30</v>
      </c>
      <c r="E11" t="s">
        <v>620</v>
      </c>
      <c r="F11" t="str">
        <f>VLOOKUP(B11,'[1]oasis_cross-sectional'!A$1:K$236,2,FALSE)</f>
        <v>F</v>
      </c>
    </row>
    <row r="12" spans="1:6">
      <c r="A12" t="s">
        <v>11</v>
      </c>
      <c r="B12" t="s">
        <v>322</v>
      </c>
      <c r="C12">
        <f>VLOOKUP(B12,'[1]oasis_cross-sectional'!A$1:K$236,4,FALSE)</f>
        <v>48</v>
      </c>
      <c r="D12">
        <f>VLOOKUP(B12,'[1]oasis_cross-sectional'!A$1:K$236,7,FALSE)</f>
        <v>29</v>
      </c>
      <c r="E12" t="s">
        <v>620</v>
      </c>
      <c r="F12" t="str">
        <f>VLOOKUP(B12,'[1]oasis_cross-sectional'!A$1:K$236,2,FALSE)</f>
        <v>F</v>
      </c>
    </row>
    <row r="13" spans="1:6">
      <c r="A13" t="s">
        <v>12</v>
      </c>
      <c r="B13" t="s">
        <v>323</v>
      </c>
      <c r="C13">
        <f>VLOOKUP(B13,'[1]oasis_cross-sectional'!A$1:K$236,4,FALSE)</f>
        <v>80</v>
      </c>
      <c r="D13">
        <f>VLOOKUP(B13,'[1]oasis_cross-sectional'!A$1:K$236,7,FALSE)</f>
        <v>23</v>
      </c>
      <c r="E13" t="s">
        <v>620</v>
      </c>
      <c r="F13" t="str">
        <f>VLOOKUP(B13,'[1]oasis_cross-sectional'!A$1:K$236,2,FALSE)</f>
        <v>F</v>
      </c>
    </row>
    <row r="14" spans="1:6">
      <c r="A14" t="s">
        <v>13</v>
      </c>
      <c r="B14" t="s">
        <v>324</v>
      </c>
      <c r="C14">
        <f>VLOOKUP(B14,'[1]oasis_cross-sectional'!A$1:K$236,4,FALSE)</f>
        <v>69</v>
      </c>
      <c r="D14">
        <f>VLOOKUP(B14,'[1]oasis_cross-sectional'!A$1:K$236,7,FALSE)</f>
        <v>23</v>
      </c>
      <c r="E14" t="s">
        <v>620</v>
      </c>
      <c r="F14" t="str">
        <f>VLOOKUP(B14,'[1]oasis_cross-sectional'!A$1:K$236,2,FALSE)</f>
        <v>F</v>
      </c>
    </row>
    <row r="15" spans="1:6">
      <c r="A15" t="s">
        <v>14</v>
      </c>
      <c r="B15" t="s">
        <v>325</v>
      </c>
      <c r="C15">
        <f>VLOOKUP(B15,'[1]oasis_cross-sectional'!A$1:K$236,4,FALSE)</f>
        <v>82</v>
      </c>
      <c r="D15">
        <f>VLOOKUP(B15,'[1]oasis_cross-sectional'!A$1:K$236,7,FALSE)</f>
        <v>27</v>
      </c>
      <c r="E15" t="s">
        <v>620</v>
      </c>
      <c r="F15" t="str">
        <f>VLOOKUP(B15,'[1]oasis_cross-sectional'!A$1:K$236,2,FALSE)</f>
        <v>M</v>
      </c>
    </row>
    <row r="16" spans="1:6">
      <c r="A16" t="s">
        <v>15</v>
      </c>
      <c r="B16" t="s">
        <v>326</v>
      </c>
      <c r="C16">
        <f>VLOOKUP(B16,'[1]oasis_cross-sectional'!A$1:K$236,4,FALSE)</f>
        <v>58</v>
      </c>
      <c r="D16">
        <f>VLOOKUP(B16,'[1]oasis_cross-sectional'!A$1:K$236,7,FALSE)</f>
        <v>30</v>
      </c>
      <c r="E16" t="s">
        <v>620</v>
      </c>
      <c r="F16" t="str">
        <f>VLOOKUP(B16,'[1]oasis_cross-sectional'!A$1:K$236,2,FALSE)</f>
        <v>F</v>
      </c>
    </row>
    <row r="17" spans="1:6">
      <c r="A17" t="s">
        <v>16</v>
      </c>
      <c r="B17" t="s">
        <v>327</v>
      </c>
      <c r="C17">
        <f>VLOOKUP(B17,'[1]oasis_cross-sectional'!A$1:K$236,4,FALSE)</f>
        <v>86</v>
      </c>
      <c r="D17">
        <f>VLOOKUP(B17,'[1]oasis_cross-sectional'!A$1:K$236,7,FALSE)</f>
        <v>27</v>
      </c>
      <c r="E17" t="s">
        <v>620</v>
      </c>
      <c r="F17" t="str">
        <f>VLOOKUP(B17,'[1]oasis_cross-sectional'!A$1:K$236,2,FALSE)</f>
        <v>F</v>
      </c>
    </row>
    <row r="18" spans="1:6">
      <c r="A18" t="s">
        <v>17</v>
      </c>
      <c r="B18" t="s">
        <v>328</v>
      </c>
      <c r="C18">
        <f>VLOOKUP(B18,'[1]oasis_cross-sectional'!A$1:K$236,4,FALSE)</f>
        <v>65</v>
      </c>
      <c r="D18">
        <f>VLOOKUP(B18,'[1]oasis_cross-sectional'!A$1:K$236,7,FALSE)</f>
        <v>29</v>
      </c>
      <c r="E18" t="s">
        <v>620</v>
      </c>
      <c r="F18" t="str">
        <f>VLOOKUP(B18,'[1]oasis_cross-sectional'!A$1:K$236,2,FALSE)</f>
        <v>F</v>
      </c>
    </row>
    <row r="19" spans="1:6">
      <c r="A19" t="s">
        <v>18</v>
      </c>
      <c r="B19" t="s">
        <v>329</v>
      </c>
      <c r="C19">
        <f>VLOOKUP(B19,'[1]oasis_cross-sectional'!A$1:K$236,4,FALSE)</f>
        <v>88</v>
      </c>
      <c r="D19">
        <f>VLOOKUP(B19,'[1]oasis_cross-sectional'!A$1:K$236,7,FALSE)</f>
        <v>26</v>
      </c>
      <c r="E19" t="s">
        <v>620</v>
      </c>
      <c r="F19" t="str">
        <f>VLOOKUP(B19,'[1]oasis_cross-sectional'!A$1:K$236,2,FALSE)</f>
        <v>M</v>
      </c>
    </row>
    <row r="20" spans="1:6">
      <c r="A20" t="s">
        <v>19</v>
      </c>
      <c r="B20" t="s">
        <v>330</v>
      </c>
      <c r="C20">
        <f>VLOOKUP(B20,'[1]oasis_cross-sectional'!A$1:K$236,4,FALSE)</f>
        <v>89</v>
      </c>
      <c r="D20">
        <f>VLOOKUP(B20,'[1]oasis_cross-sectional'!A$1:K$236,7,FALSE)</f>
        <v>28</v>
      </c>
      <c r="E20" t="s">
        <v>620</v>
      </c>
      <c r="F20" t="str">
        <f>VLOOKUP(B20,'[1]oasis_cross-sectional'!A$1:K$236,2,FALSE)</f>
        <v>M</v>
      </c>
    </row>
    <row r="21" spans="1:6">
      <c r="A21" t="s">
        <v>20</v>
      </c>
      <c r="B21" t="s">
        <v>331</v>
      </c>
      <c r="C21">
        <f>VLOOKUP(B21,'[1]oasis_cross-sectional'!A$1:K$236,4,FALSE)</f>
        <v>80</v>
      </c>
      <c r="D21">
        <f>VLOOKUP(B21,'[1]oasis_cross-sectional'!A$1:K$236,7,FALSE)</f>
        <v>29</v>
      </c>
      <c r="E21" t="s">
        <v>620</v>
      </c>
      <c r="F21" t="str">
        <f>VLOOKUP(B21,'[1]oasis_cross-sectional'!A$1:K$236,2,FALSE)</f>
        <v>F</v>
      </c>
    </row>
    <row r="22" spans="1:6">
      <c r="A22" t="s">
        <v>21</v>
      </c>
      <c r="B22" t="s">
        <v>332</v>
      </c>
      <c r="C22">
        <f>VLOOKUP(B22,'[1]oasis_cross-sectional'!A$1:K$236,4,FALSE)</f>
        <v>51</v>
      </c>
      <c r="D22">
        <f>VLOOKUP(B22,'[1]oasis_cross-sectional'!A$1:K$236,7,FALSE)</f>
        <v>29</v>
      </c>
      <c r="E22" t="s">
        <v>620</v>
      </c>
      <c r="F22" t="str">
        <f>VLOOKUP(B22,'[1]oasis_cross-sectional'!A$1:K$236,2,FALSE)</f>
        <v>M</v>
      </c>
    </row>
    <row r="23" spans="1:6">
      <c r="A23" t="s">
        <v>22</v>
      </c>
      <c r="B23" t="s">
        <v>333</v>
      </c>
      <c r="C23">
        <f>VLOOKUP(B23,'[1]oasis_cross-sectional'!A$1:K$236,4,FALSE)</f>
        <v>84</v>
      </c>
      <c r="D23">
        <f>VLOOKUP(B23,'[1]oasis_cross-sectional'!A$1:K$236,7,FALSE)</f>
        <v>28</v>
      </c>
      <c r="E23" t="s">
        <v>620</v>
      </c>
      <c r="F23" t="str">
        <f>VLOOKUP(B23,'[1]oasis_cross-sectional'!A$1:K$236,2,FALSE)</f>
        <v>F</v>
      </c>
    </row>
    <row r="24" spans="1:6">
      <c r="A24" t="s">
        <v>23</v>
      </c>
      <c r="B24" t="s">
        <v>334</v>
      </c>
      <c r="C24">
        <f>VLOOKUP(B24,'[1]oasis_cross-sectional'!A$1:K$236,4,FALSE)</f>
        <v>70</v>
      </c>
      <c r="D24">
        <f>VLOOKUP(B24,'[1]oasis_cross-sectional'!A$1:K$236,7,FALSE)</f>
        <v>29</v>
      </c>
      <c r="E24" t="s">
        <v>620</v>
      </c>
      <c r="F24" t="str">
        <f>VLOOKUP(B24,'[1]oasis_cross-sectional'!A$1:K$236,2,FALSE)</f>
        <v>M</v>
      </c>
    </row>
    <row r="25" spans="1:6">
      <c r="A25" t="s">
        <v>24</v>
      </c>
      <c r="B25" t="s">
        <v>335</v>
      </c>
      <c r="C25">
        <f>VLOOKUP(B25,'[1]oasis_cross-sectional'!A$1:K$236,4,FALSE)</f>
        <v>62</v>
      </c>
      <c r="D25">
        <f>VLOOKUP(B25,'[1]oasis_cross-sectional'!A$1:K$236,7,FALSE)</f>
        <v>28</v>
      </c>
      <c r="E25" t="s">
        <v>620</v>
      </c>
      <c r="F25" t="str">
        <f>VLOOKUP(B25,'[1]oasis_cross-sectional'!A$1:K$236,2,FALSE)</f>
        <v>F</v>
      </c>
    </row>
    <row r="26" spans="1:6">
      <c r="A26" t="s">
        <v>25</v>
      </c>
      <c r="B26" t="s">
        <v>336</v>
      </c>
      <c r="C26">
        <f>VLOOKUP(B26,'[1]oasis_cross-sectional'!A$1:K$236,4,FALSE)</f>
        <v>80</v>
      </c>
      <c r="D26">
        <f>VLOOKUP(B26,'[1]oasis_cross-sectional'!A$1:K$236,7,FALSE)</f>
        <v>29</v>
      </c>
      <c r="E26" t="s">
        <v>620</v>
      </c>
      <c r="F26" t="str">
        <f>VLOOKUP(B26,'[1]oasis_cross-sectional'!A$1:K$236,2,FALSE)</f>
        <v>M</v>
      </c>
    </row>
    <row r="27" spans="1:6">
      <c r="A27" t="s">
        <v>26</v>
      </c>
      <c r="B27" t="s">
        <v>337</v>
      </c>
      <c r="C27">
        <f>VLOOKUP(B27,'[1]oasis_cross-sectional'!A$1:K$236,4,FALSE)</f>
        <v>47</v>
      </c>
      <c r="D27">
        <f>VLOOKUP(B27,'[1]oasis_cross-sectional'!A$1:K$236,7,FALSE)</f>
        <v>30</v>
      </c>
      <c r="E27" t="s">
        <v>620</v>
      </c>
      <c r="F27" t="str">
        <f>VLOOKUP(B27,'[1]oasis_cross-sectional'!A$1:K$236,2,FALSE)</f>
        <v>F</v>
      </c>
    </row>
    <row r="28" spans="1:6">
      <c r="A28" t="s">
        <v>27</v>
      </c>
      <c r="B28" t="s">
        <v>338</v>
      </c>
      <c r="C28">
        <f>VLOOKUP(B28,'[1]oasis_cross-sectional'!A$1:K$236,4,FALSE)</f>
        <v>64</v>
      </c>
      <c r="D28">
        <f>VLOOKUP(B28,'[1]oasis_cross-sectional'!A$1:K$236,7,FALSE)</f>
        <v>22</v>
      </c>
      <c r="E28" t="s">
        <v>620</v>
      </c>
      <c r="F28" t="str">
        <f>VLOOKUP(B28,'[1]oasis_cross-sectional'!A$1:K$236,2,FALSE)</f>
        <v>M</v>
      </c>
    </row>
    <row r="29" spans="1:6">
      <c r="A29" t="s">
        <v>28</v>
      </c>
      <c r="B29" t="s">
        <v>339</v>
      </c>
      <c r="C29">
        <f>VLOOKUP(B29,'[1]oasis_cross-sectional'!A$1:K$236,4,FALSE)</f>
        <v>78</v>
      </c>
      <c r="D29">
        <f>VLOOKUP(B29,'[1]oasis_cross-sectional'!A$1:K$236,7,FALSE)</f>
        <v>23</v>
      </c>
      <c r="E29" t="s">
        <v>620</v>
      </c>
      <c r="F29" t="str">
        <f>VLOOKUP(B29,'[1]oasis_cross-sectional'!A$1:K$236,2,FALSE)</f>
        <v>F</v>
      </c>
    </row>
    <row r="30" spans="1:6">
      <c r="A30" t="s">
        <v>29</v>
      </c>
      <c r="B30" t="s">
        <v>340</v>
      </c>
      <c r="C30">
        <f>VLOOKUP(B30,'[1]oasis_cross-sectional'!A$1:K$236,4,FALSE)</f>
        <v>83</v>
      </c>
      <c r="D30">
        <f>VLOOKUP(B30,'[1]oasis_cross-sectional'!A$1:K$236,7,FALSE)</f>
        <v>21</v>
      </c>
      <c r="E30" t="s">
        <v>620</v>
      </c>
      <c r="F30" t="str">
        <f>VLOOKUP(B30,'[1]oasis_cross-sectional'!A$1:K$236,2,FALSE)</f>
        <v>F</v>
      </c>
    </row>
    <row r="31" spans="1:6">
      <c r="A31" t="s">
        <v>30</v>
      </c>
      <c r="B31" t="s">
        <v>341</v>
      </c>
      <c r="C31">
        <f>VLOOKUP(B31,'[1]oasis_cross-sectional'!A$1:K$236,4,FALSE)</f>
        <v>72</v>
      </c>
      <c r="D31">
        <f>VLOOKUP(B31,'[1]oasis_cross-sectional'!A$1:K$236,7,FALSE)</f>
        <v>15</v>
      </c>
      <c r="E31" t="s">
        <v>620</v>
      </c>
      <c r="F31" t="str">
        <f>VLOOKUP(B31,'[1]oasis_cross-sectional'!A$1:K$236,2,FALSE)</f>
        <v>F</v>
      </c>
    </row>
    <row r="32" spans="1:6">
      <c r="A32" t="s">
        <v>31</v>
      </c>
      <c r="B32" t="s">
        <v>342</v>
      </c>
      <c r="C32">
        <f>VLOOKUP(B32,'[1]oasis_cross-sectional'!A$1:K$236,4,FALSE)</f>
        <v>46</v>
      </c>
      <c r="D32">
        <f>VLOOKUP(B32,'[1]oasis_cross-sectional'!A$1:K$236,7,FALSE)</f>
        <v>30</v>
      </c>
      <c r="E32" t="s">
        <v>620</v>
      </c>
      <c r="F32" t="str">
        <f>VLOOKUP(B32,'[1]oasis_cross-sectional'!A$1:K$236,2,FALSE)</f>
        <v>F</v>
      </c>
    </row>
    <row r="33" spans="1:6">
      <c r="A33" t="s">
        <v>32</v>
      </c>
      <c r="B33" t="s">
        <v>343</v>
      </c>
      <c r="C33">
        <f>VLOOKUP(B33,'[1]oasis_cross-sectional'!A$1:K$236,4,FALSE)</f>
        <v>79</v>
      </c>
      <c r="D33">
        <f>VLOOKUP(B33,'[1]oasis_cross-sectional'!A$1:K$236,7,FALSE)</f>
        <v>29</v>
      </c>
      <c r="E33" t="s">
        <v>620</v>
      </c>
      <c r="F33" t="str">
        <f>VLOOKUP(B33,'[1]oasis_cross-sectional'!A$1:K$236,2,FALSE)</f>
        <v>M</v>
      </c>
    </row>
    <row r="34" spans="1:6">
      <c r="A34" t="s">
        <v>33</v>
      </c>
      <c r="B34" t="s">
        <v>344</v>
      </c>
      <c r="C34">
        <f>VLOOKUP(B34,'[1]oasis_cross-sectional'!A$1:K$236,4,FALSE)</f>
        <v>73</v>
      </c>
      <c r="D34">
        <f>VLOOKUP(B34,'[1]oasis_cross-sectional'!A$1:K$236,7,FALSE)</f>
        <v>30</v>
      </c>
      <c r="E34" t="s">
        <v>620</v>
      </c>
      <c r="F34" t="str">
        <f>VLOOKUP(B34,'[1]oasis_cross-sectional'!A$1:K$236,2,FALSE)</f>
        <v>F</v>
      </c>
    </row>
    <row r="35" spans="1:6">
      <c r="A35" t="s">
        <v>34</v>
      </c>
      <c r="B35" t="s">
        <v>345</v>
      </c>
      <c r="C35">
        <f>VLOOKUP(B35,'[1]oasis_cross-sectional'!A$1:K$236,4,FALSE)</f>
        <v>77</v>
      </c>
      <c r="D35">
        <f>VLOOKUP(B35,'[1]oasis_cross-sectional'!A$1:K$236,7,FALSE)</f>
        <v>29</v>
      </c>
      <c r="E35" t="s">
        <v>620</v>
      </c>
      <c r="F35" t="str">
        <f>VLOOKUP(B35,'[1]oasis_cross-sectional'!A$1:K$236,2,FALSE)</f>
        <v>F</v>
      </c>
    </row>
    <row r="36" spans="1:6">
      <c r="A36" t="s">
        <v>35</v>
      </c>
      <c r="B36" t="s">
        <v>346</v>
      </c>
      <c r="C36">
        <f>VLOOKUP(B36,'[1]oasis_cross-sectional'!A$1:K$236,4,FALSE)</f>
        <v>90</v>
      </c>
      <c r="D36">
        <f>VLOOKUP(B36,'[1]oasis_cross-sectional'!A$1:K$236,7,FALSE)</f>
        <v>25</v>
      </c>
      <c r="E36" t="s">
        <v>620</v>
      </c>
      <c r="F36" t="str">
        <f>VLOOKUP(B36,'[1]oasis_cross-sectional'!A$1:K$236,2,FALSE)</f>
        <v>M</v>
      </c>
    </row>
    <row r="37" spans="1:6">
      <c r="A37" t="s">
        <v>36</v>
      </c>
      <c r="B37" t="s">
        <v>347</v>
      </c>
      <c r="C37">
        <f>VLOOKUP(B37,'[1]oasis_cross-sectional'!A$1:K$236,4,FALSE)</f>
        <v>66</v>
      </c>
      <c r="D37">
        <f>VLOOKUP(B37,'[1]oasis_cross-sectional'!A$1:K$236,7,FALSE)</f>
        <v>28</v>
      </c>
      <c r="E37" t="s">
        <v>620</v>
      </c>
      <c r="F37" t="str">
        <f>VLOOKUP(B37,'[1]oasis_cross-sectional'!A$1:K$236,2,FALSE)</f>
        <v>F</v>
      </c>
    </row>
    <row r="38" spans="1:6">
      <c r="A38" t="s">
        <v>37</v>
      </c>
      <c r="B38" t="s">
        <v>348</v>
      </c>
      <c r="C38">
        <f>VLOOKUP(B38,'[1]oasis_cross-sectional'!A$1:K$236,4,FALSE)</f>
        <v>71</v>
      </c>
      <c r="D38">
        <f>VLOOKUP(B38,'[1]oasis_cross-sectional'!A$1:K$236,7,FALSE)</f>
        <v>27</v>
      </c>
      <c r="E38" t="s">
        <v>620</v>
      </c>
      <c r="F38" t="str">
        <f>VLOOKUP(B38,'[1]oasis_cross-sectional'!A$1:K$236,2,FALSE)</f>
        <v>F</v>
      </c>
    </row>
    <row r="39" spans="1:6">
      <c r="A39" t="s">
        <v>38</v>
      </c>
      <c r="B39" t="s">
        <v>349</v>
      </c>
      <c r="C39">
        <f>VLOOKUP(B39,'[1]oasis_cross-sectional'!A$1:K$236,4,FALSE)</f>
        <v>67</v>
      </c>
      <c r="D39">
        <f>VLOOKUP(B39,'[1]oasis_cross-sectional'!A$1:K$236,7,FALSE)</f>
        <v>30</v>
      </c>
      <c r="E39" t="s">
        <v>620</v>
      </c>
      <c r="F39" t="str">
        <f>VLOOKUP(B39,'[1]oasis_cross-sectional'!A$1:K$236,2,FALSE)</f>
        <v>F</v>
      </c>
    </row>
    <row r="40" spans="1:6">
      <c r="A40" t="s">
        <v>39</v>
      </c>
      <c r="B40" t="s">
        <v>350</v>
      </c>
      <c r="C40">
        <f>VLOOKUP(B40,'[1]oasis_cross-sectional'!A$1:K$236,4,FALSE)</f>
        <v>33</v>
      </c>
      <c r="D40">
        <f>VLOOKUP(B40,'[1]oasis_cross-sectional'!A$1:K$236,7,FALSE)</f>
        <v>30</v>
      </c>
      <c r="E40" t="s">
        <v>620</v>
      </c>
      <c r="F40" t="str">
        <f>VLOOKUP(B40,'[1]oasis_cross-sectional'!A$1:K$236,2,FALSE)</f>
        <v>M</v>
      </c>
    </row>
    <row r="41" spans="1:6">
      <c r="A41" t="s">
        <v>40</v>
      </c>
      <c r="B41" t="s">
        <v>351</v>
      </c>
      <c r="C41">
        <f>VLOOKUP(B41,'[1]oasis_cross-sectional'!A$1:K$236,4,FALSE)</f>
        <v>63</v>
      </c>
      <c r="D41">
        <f>VLOOKUP(B41,'[1]oasis_cross-sectional'!A$1:K$236,7,FALSE)</f>
        <v>30</v>
      </c>
      <c r="E41" t="s">
        <v>620</v>
      </c>
      <c r="F41" t="str">
        <f>VLOOKUP(B41,'[1]oasis_cross-sectional'!A$1:K$236,2,FALSE)</f>
        <v>F</v>
      </c>
    </row>
    <row r="42" spans="1:6">
      <c r="A42" t="s">
        <v>41</v>
      </c>
      <c r="B42" t="s">
        <v>352</v>
      </c>
      <c r="C42">
        <f>VLOOKUP(B42,'[1]oasis_cross-sectional'!A$1:K$236,4,FALSE)</f>
        <v>49</v>
      </c>
      <c r="D42">
        <f>VLOOKUP(B42,'[1]oasis_cross-sectional'!A$1:K$236,7,FALSE)</f>
        <v>30</v>
      </c>
      <c r="E42" t="s">
        <v>620</v>
      </c>
      <c r="F42" t="str">
        <f>VLOOKUP(B42,'[1]oasis_cross-sectional'!A$1:K$236,2,FALSE)</f>
        <v>F</v>
      </c>
    </row>
    <row r="43" spans="1:6">
      <c r="A43" t="s">
        <v>42</v>
      </c>
      <c r="B43" t="s">
        <v>353</v>
      </c>
      <c r="C43">
        <f>VLOOKUP(B43,'[1]oasis_cross-sectional'!A$1:K$236,4,FALSE)</f>
        <v>60</v>
      </c>
      <c r="D43">
        <f>VLOOKUP(B43,'[1]oasis_cross-sectional'!A$1:K$236,7,FALSE)</f>
        <v>30</v>
      </c>
      <c r="E43" t="s">
        <v>620</v>
      </c>
      <c r="F43" t="str">
        <f>VLOOKUP(B43,'[1]oasis_cross-sectional'!A$1:K$236,2,FALSE)</f>
        <v>F</v>
      </c>
    </row>
    <row r="44" spans="1:6">
      <c r="A44" t="s">
        <v>43</v>
      </c>
      <c r="B44" t="s">
        <v>354</v>
      </c>
      <c r="C44">
        <f>VLOOKUP(B44,'[1]oasis_cross-sectional'!A$1:K$236,4,FALSE)</f>
        <v>69</v>
      </c>
      <c r="D44">
        <f>VLOOKUP(B44,'[1]oasis_cross-sectional'!A$1:K$236,7,FALSE)</f>
        <v>21</v>
      </c>
      <c r="E44" t="s">
        <v>620</v>
      </c>
      <c r="F44" t="str">
        <f>VLOOKUP(B44,'[1]oasis_cross-sectional'!A$1:K$236,2,FALSE)</f>
        <v>F</v>
      </c>
    </row>
    <row r="45" spans="1:6">
      <c r="A45" t="s">
        <v>44</v>
      </c>
      <c r="B45" t="s">
        <v>355</v>
      </c>
      <c r="C45">
        <f>VLOOKUP(B45,'[1]oasis_cross-sectional'!A$1:K$236,4,FALSE)</f>
        <v>43</v>
      </c>
      <c r="D45">
        <f>VLOOKUP(B45,'[1]oasis_cross-sectional'!A$1:K$236,7,FALSE)</f>
        <v>30</v>
      </c>
      <c r="E45" t="s">
        <v>620</v>
      </c>
      <c r="F45" t="str">
        <f>VLOOKUP(B45,'[1]oasis_cross-sectional'!A$1:K$236,2,FALSE)</f>
        <v>M</v>
      </c>
    </row>
    <row r="46" spans="1:6">
      <c r="A46" t="s">
        <v>45</v>
      </c>
      <c r="B46" t="s">
        <v>356</v>
      </c>
      <c r="C46">
        <f>VLOOKUP(B46,'[1]oasis_cross-sectional'!A$1:K$236,4,FALSE)</f>
        <v>83</v>
      </c>
      <c r="D46">
        <f>VLOOKUP(B46,'[1]oasis_cross-sectional'!A$1:K$236,7,FALSE)</f>
        <v>30</v>
      </c>
      <c r="E46" t="s">
        <v>620</v>
      </c>
      <c r="F46" t="str">
        <f>VLOOKUP(B46,'[1]oasis_cross-sectional'!A$1:K$236,2,FALSE)</f>
        <v>F</v>
      </c>
    </row>
    <row r="47" spans="1:6">
      <c r="A47" t="s">
        <v>46</v>
      </c>
      <c r="B47" t="s">
        <v>357</v>
      </c>
      <c r="C47">
        <f>VLOOKUP(B47,'[1]oasis_cross-sectional'!A$1:K$236,4,FALSE)</f>
        <v>64</v>
      </c>
      <c r="D47">
        <f>VLOOKUP(B47,'[1]oasis_cross-sectional'!A$1:K$236,7,FALSE)</f>
        <v>30</v>
      </c>
      <c r="E47" t="s">
        <v>620</v>
      </c>
      <c r="F47" t="str">
        <f>VLOOKUP(B47,'[1]oasis_cross-sectional'!A$1:K$236,2,FALSE)</f>
        <v>F</v>
      </c>
    </row>
    <row r="48" spans="1:6">
      <c r="A48" t="s">
        <v>47</v>
      </c>
      <c r="B48" t="s">
        <v>358</v>
      </c>
      <c r="C48">
        <f>VLOOKUP(B48,'[1]oasis_cross-sectional'!A$1:K$236,4,FALSE)</f>
        <v>75</v>
      </c>
      <c r="D48">
        <f>VLOOKUP(B48,'[1]oasis_cross-sectional'!A$1:K$236,7,FALSE)</f>
        <v>28</v>
      </c>
      <c r="E48" t="s">
        <v>620</v>
      </c>
      <c r="F48" t="str">
        <f>VLOOKUP(B48,'[1]oasis_cross-sectional'!A$1:K$236,2,FALSE)</f>
        <v>F</v>
      </c>
    </row>
    <row r="49" spans="1:6">
      <c r="A49" t="s">
        <v>48</v>
      </c>
      <c r="B49" t="s">
        <v>359</v>
      </c>
      <c r="C49">
        <f>VLOOKUP(B49,'[1]oasis_cross-sectional'!A$1:K$236,4,FALSE)</f>
        <v>90</v>
      </c>
      <c r="D49">
        <f>VLOOKUP(B49,'[1]oasis_cross-sectional'!A$1:K$236,7,FALSE)</f>
        <v>27</v>
      </c>
      <c r="E49" t="s">
        <v>620</v>
      </c>
      <c r="F49" t="str">
        <f>VLOOKUP(B49,'[1]oasis_cross-sectional'!A$1:K$236,2,FALSE)</f>
        <v>F</v>
      </c>
    </row>
    <row r="50" spans="1:6">
      <c r="A50" t="s">
        <v>49</v>
      </c>
      <c r="B50" t="s">
        <v>360</v>
      </c>
      <c r="C50">
        <f>VLOOKUP(B50,'[1]oasis_cross-sectional'!A$1:K$236,4,FALSE)</f>
        <v>81</v>
      </c>
      <c r="D50">
        <f>VLOOKUP(B50,'[1]oasis_cross-sectional'!A$1:K$236,7,FALSE)</f>
        <v>27</v>
      </c>
      <c r="E50" t="s">
        <v>620</v>
      </c>
      <c r="F50" t="str">
        <f>VLOOKUP(B50,'[1]oasis_cross-sectional'!A$1:K$236,2,FALSE)</f>
        <v>F</v>
      </c>
    </row>
    <row r="51" spans="1:6">
      <c r="A51" t="s">
        <v>50</v>
      </c>
      <c r="B51" t="s">
        <v>361</v>
      </c>
      <c r="C51">
        <f>VLOOKUP(B51,'[1]oasis_cross-sectional'!A$1:K$236,4,FALSE)</f>
        <v>70</v>
      </c>
      <c r="D51">
        <f>VLOOKUP(B51,'[1]oasis_cross-sectional'!A$1:K$236,7,FALSE)</f>
        <v>29</v>
      </c>
      <c r="E51" t="s">
        <v>620</v>
      </c>
      <c r="F51" t="str">
        <f>VLOOKUP(B51,'[1]oasis_cross-sectional'!A$1:K$236,2,FALSE)</f>
        <v>F</v>
      </c>
    </row>
    <row r="52" spans="1:6">
      <c r="A52" t="s">
        <v>51</v>
      </c>
      <c r="B52" t="s">
        <v>362</v>
      </c>
      <c r="C52">
        <f>VLOOKUP(B52,'[1]oasis_cross-sectional'!A$1:K$236,4,FALSE)</f>
        <v>47</v>
      </c>
      <c r="D52">
        <f>VLOOKUP(B52,'[1]oasis_cross-sectional'!A$1:K$236,7,FALSE)</f>
        <v>30</v>
      </c>
      <c r="E52" t="s">
        <v>620</v>
      </c>
      <c r="F52" t="str">
        <f>VLOOKUP(B52,'[1]oasis_cross-sectional'!A$1:K$236,2,FALSE)</f>
        <v>F</v>
      </c>
    </row>
    <row r="53" spans="1:6">
      <c r="A53" t="s">
        <v>52</v>
      </c>
      <c r="B53" t="s">
        <v>363</v>
      </c>
      <c r="C53">
        <f>VLOOKUP(B53,'[1]oasis_cross-sectional'!A$1:K$236,4,FALSE)</f>
        <v>66</v>
      </c>
      <c r="D53">
        <f>VLOOKUP(B53,'[1]oasis_cross-sectional'!A$1:K$236,7,FALSE)</f>
        <v>30</v>
      </c>
      <c r="E53" t="s">
        <v>620</v>
      </c>
      <c r="F53" t="str">
        <f>VLOOKUP(B53,'[1]oasis_cross-sectional'!A$1:K$236,2,FALSE)</f>
        <v>F</v>
      </c>
    </row>
    <row r="54" spans="1:6">
      <c r="A54" t="s">
        <v>53</v>
      </c>
      <c r="B54" t="s">
        <v>364</v>
      </c>
      <c r="C54">
        <f>VLOOKUP(B54,'[1]oasis_cross-sectional'!A$1:K$236,4,FALSE)</f>
        <v>47</v>
      </c>
      <c r="D54">
        <f>VLOOKUP(B54,'[1]oasis_cross-sectional'!A$1:K$236,7,FALSE)</f>
        <v>29</v>
      </c>
      <c r="E54" t="s">
        <v>620</v>
      </c>
      <c r="F54" t="str">
        <f>VLOOKUP(B54,'[1]oasis_cross-sectional'!A$1:K$236,2,FALSE)</f>
        <v>F</v>
      </c>
    </row>
    <row r="55" spans="1:6">
      <c r="A55" t="s">
        <v>54</v>
      </c>
      <c r="B55" t="s">
        <v>365</v>
      </c>
      <c r="C55">
        <f>VLOOKUP(B55,'[1]oasis_cross-sectional'!A$1:K$236,4,FALSE)</f>
        <v>67</v>
      </c>
      <c r="D55">
        <f>VLOOKUP(B55,'[1]oasis_cross-sectional'!A$1:K$236,7,FALSE)</f>
        <v>18</v>
      </c>
      <c r="E55" t="s">
        <v>620</v>
      </c>
      <c r="F55" t="str">
        <f>VLOOKUP(B55,'[1]oasis_cross-sectional'!A$1:K$236,2,FALSE)</f>
        <v>F</v>
      </c>
    </row>
    <row r="56" spans="1:6">
      <c r="A56" t="s">
        <v>55</v>
      </c>
      <c r="B56" t="s">
        <v>366</v>
      </c>
      <c r="C56">
        <f>VLOOKUP(B56,'[1]oasis_cross-sectional'!A$1:K$236,4,FALSE)</f>
        <v>81</v>
      </c>
      <c r="D56">
        <f>VLOOKUP(B56,'[1]oasis_cross-sectional'!A$1:K$236,7,FALSE)</f>
        <v>30</v>
      </c>
      <c r="E56" t="s">
        <v>620</v>
      </c>
      <c r="F56" t="str">
        <f>VLOOKUP(B56,'[1]oasis_cross-sectional'!A$1:K$236,2,FALSE)</f>
        <v>F</v>
      </c>
    </row>
    <row r="57" spans="1:6">
      <c r="A57" t="s">
        <v>56</v>
      </c>
      <c r="B57" t="s">
        <v>367</v>
      </c>
      <c r="C57">
        <f>VLOOKUP(B57,'[1]oasis_cross-sectional'!A$1:K$236,4,FALSE)</f>
        <v>61</v>
      </c>
      <c r="D57">
        <f>VLOOKUP(B57,'[1]oasis_cross-sectional'!A$1:K$236,7,FALSE)</f>
        <v>30</v>
      </c>
      <c r="E57" t="s">
        <v>620</v>
      </c>
      <c r="F57" t="str">
        <f>VLOOKUP(B57,'[1]oasis_cross-sectional'!A$1:K$236,2,FALSE)</f>
        <v>F</v>
      </c>
    </row>
    <row r="58" spans="1:6">
      <c r="A58" t="s">
        <v>57</v>
      </c>
      <c r="B58" t="s">
        <v>368</v>
      </c>
      <c r="C58">
        <f>VLOOKUP(B58,'[1]oasis_cross-sectional'!A$1:K$236,4,FALSE)</f>
        <v>84</v>
      </c>
      <c r="D58">
        <f>VLOOKUP(B58,'[1]oasis_cross-sectional'!A$1:K$236,7,FALSE)</f>
        <v>28</v>
      </c>
      <c r="E58" t="s">
        <v>620</v>
      </c>
      <c r="F58" t="str">
        <f>VLOOKUP(B58,'[1]oasis_cross-sectional'!A$1:K$236,2,FALSE)</f>
        <v>M</v>
      </c>
    </row>
    <row r="59" spans="1:6">
      <c r="A59" t="s">
        <v>58</v>
      </c>
      <c r="B59" t="s">
        <v>369</v>
      </c>
      <c r="C59">
        <f>VLOOKUP(B59,'[1]oasis_cross-sectional'!A$1:K$236,4,FALSE)</f>
        <v>69</v>
      </c>
      <c r="D59">
        <f>VLOOKUP(B59,'[1]oasis_cross-sectional'!A$1:K$236,7,FALSE)</f>
        <v>29</v>
      </c>
      <c r="E59" t="s">
        <v>620</v>
      </c>
      <c r="F59" t="str">
        <f>VLOOKUP(B59,'[1]oasis_cross-sectional'!A$1:K$236,2,FALSE)</f>
        <v>F</v>
      </c>
    </row>
    <row r="60" spans="1:6">
      <c r="A60" t="s">
        <v>59</v>
      </c>
      <c r="B60" t="s">
        <v>370</v>
      </c>
      <c r="C60">
        <f>VLOOKUP(B60,'[1]oasis_cross-sectional'!A$1:K$236,4,FALSE)</f>
        <v>83</v>
      </c>
      <c r="D60">
        <f>VLOOKUP(B60,'[1]oasis_cross-sectional'!A$1:K$236,7,FALSE)</f>
        <v>29</v>
      </c>
      <c r="E60" t="s">
        <v>620</v>
      </c>
      <c r="F60" t="str">
        <f>VLOOKUP(B60,'[1]oasis_cross-sectional'!A$1:K$236,2,FALSE)</f>
        <v>F</v>
      </c>
    </row>
    <row r="61" spans="1:6">
      <c r="A61" t="s">
        <v>60</v>
      </c>
      <c r="B61" t="s">
        <v>371</v>
      </c>
      <c r="C61">
        <f>VLOOKUP(B61,'[1]oasis_cross-sectional'!A$1:K$236,4,FALSE)</f>
        <v>62</v>
      </c>
      <c r="D61">
        <f>VLOOKUP(B61,'[1]oasis_cross-sectional'!A$1:K$236,7,FALSE)</f>
        <v>30</v>
      </c>
      <c r="E61" t="s">
        <v>620</v>
      </c>
      <c r="F61" t="str">
        <f>VLOOKUP(B61,'[1]oasis_cross-sectional'!A$1:K$236,2,FALSE)</f>
        <v>M</v>
      </c>
    </row>
    <row r="62" spans="1:6">
      <c r="A62" t="s">
        <v>61</v>
      </c>
      <c r="B62" t="s">
        <v>372</v>
      </c>
      <c r="C62">
        <f>VLOOKUP(B62,'[1]oasis_cross-sectional'!A$1:K$236,4,FALSE)</f>
        <v>72</v>
      </c>
      <c r="D62">
        <f>VLOOKUP(B62,'[1]oasis_cross-sectional'!A$1:K$236,7,FALSE)</f>
        <v>26</v>
      </c>
      <c r="E62" t="s">
        <v>620</v>
      </c>
      <c r="F62" t="str">
        <f>VLOOKUP(B62,'[1]oasis_cross-sectional'!A$1:K$236,2,FALSE)</f>
        <v>M</v>
      </c>
    </row>
    <row r="63" spans="1:6">
      <c r="A63" t="s">
        <v>62</v>
      </c>
      <c r="B63" t="s">
        <v>373</v>
      </c>
      <c r="C63">
        <f>VLOOKUP(B63,'[1]oasis_cross-sectional'!A$1:K$236,4,FALSE)</f>
        <v>52</v>
      </c>
      <c r="D63">
        <f>VLOOKUP(B63,'[1]oasis_cross-sectional'!A$1:K$236,7,FALSE)</f>
        <v>30</v>
      </c>
      <c r="E63" t="s">
        <v>620</v>
      </c>
      <c r="F63" t="str">
        <f>VLOOKUP(B63,'[1]oasis_cross-sectional'!A$1:K$236,2,FALSE)</f>
        <v>F</v>
      </c>
    </row>
    <row r="64" spans="1:6">
      <c r="A64" t="s">
        <v>63</v>
      </c>
      <c r="B64" t="s">
        <v>374</v>
      </c>
      <c r="C64">
        <f>VLOOKUP(B64,'[1]oasis_cross-sectional'!A$1:K$236,4,FALSE)</f>
        <v>70</v>
      </c>
      <c r="D64">
        <f>VLOOKUP(B64,'[1]oasis_cross-sectional'!A$1:K$236,7,FALSE)</f>
        <v>26</v>
      </c>
      <c r="E64" t="s">
        <v>620</v>
      </c>
      <c r="F64" t="str">
        <f>VLOOKUP(B64,'[1]oasis_cross-sectional'!A$1:K$236,2,FALSE)</f>
        <v>M</v>
      </c>
    </row>
    <row r="65" spans="1:6">
      <c r="A65" t="s">
        <v>64</v>
      </c>
      <c r="B65" t="s">
        <v>375</v>
      </c>
      <c r="C65">
        <f>VLOOKUP(B65,'[1]oasis_cross-sectional'!A$1:K$236,4,FALSE)</f>
        <v>83</v>
      </c>
      <c r="D65">
        <f>VLOOKUP(B65,'[1]oasis_cross-sectional'!A$1:K$236,7,FALSE)</f>
        <v>22</v>
      </c>
      <c r="E65" t="s">
        <v>620</v>
      </c>
      <c r="F65" t="str">
        <f>VLOOKUP(B65,'[1]oasis_cross-sectional'!A$1:K$236,2,FALSE)</f>
        <v>F</v>
      </c>
    </row>
    <row r="66" spans="1:6">
      <c r="A66" t="s">
        <v>65</v>
      </c>
      <c r="B66" t="s">
        <v>376</v>
      </c>
      <c r="C66">
        <f>VLOOKUP(B66,'[1]oasis_cross-sectional'!A$1:K$236,4,FALSE)</f>
        <v>83</v>
      </c>
      <c r="D66">
        <f>VLOOKUP(B66,'[1]oasis_cross-sectional'!A$1:K$236,7,FALSE)</f>
        <v>24</v>
      </c>
      <c r="E66" t="s">
        <v>620</v>
      </c>
      <c r="F66" t="str">
        <f>VLOOKUP(B66,'[1]oasis_cross-sectional'!A$1:K$236,2,FALSE)</f>
        <v>F</v>
      </c>
    </row>
    <row r="67" spans="1:6">
      <c r="A67" t="s">
        <v>66</v>
      </c>
      <c r="B67" t="s">
        <v>377</v>
      </c>
      <c r="C67">
        <f>VLOOKUP(B67,'[1]oasis_cross-sectional'!A$1:K$236,4,FALSE)</f>
        <v>73</v>
      </c>
      <c r="D67">
        <f>VLOOKUP(B67,'[1]oasis_cross-sectional'!A$1:K$236,7,FALSE)</f>
        <v>23</v>
      </c>
      <c r="E67" t="s">
        <v>620</v>
      </c>
      <c r="F67" t="str">
        <f>VLOOKUP(B67,'[1]oasis_cross-sectional'!A$1:K$236,2,FALSE)</f>
        <v>M</v>
      </c>
    </row>
    <row r="68" spans="1:6">
      <c r="A68" t="s">
        <v>67</v>
      </c>
      <c r="B68" t="s">
        <v>378</v>
      </c>
      <c r="C68">
        <f>VLOOKUP(B68,'[1]oasis_cross-sectional'!A$1:K$236,4,FALSE)</f>
        <v>68</v>
      </c>
      <c r="D68">
        <f>VLOOKUP(B68,'[1]oasis_cross-sectional'!A$1:K$236,7,FALSE)</f>
        <v>26</v>
      </c>
      <c r="E68" t="s">
        <v>620</v>
      </c>
      <c r="F68" t="str">
        <f>VLOOKUP(B68,'[1]oasis_cross-sectional'!A$1:K$236,2,FALSE)</f>
        <v>M</v>
      </c>
    </row>
    <row r="69" spans="1:6">
      <c r="A69" t="s">
        <v>68</v>
      </c>
      <c r="B69" t="s">
        <v>379</v>
      </c>
      <c r="C69">
        <f>VLOOKUP(B69,'[1]oasis_cross-sectional'!A$1:K$236,4,FALSE)</f>
        <v>65</v>
      </c>
      <c r="D69">
        <f>VLOOKUP(B69,'[1]oasis_cross-sectional'!A$1:K$236,7,FALSE)</f>
        <v>30</v>
      </c>
      <c r="E69" t="s">
        <v>620</v>
      </c>
      <c r="F69" t="str">
        <f>VLOOKUP(B69,'[1]oasis_cross-sectional'!A$1:K$236,2,FALSE)</f>
        <v>F</v>
      </c>
    </row>
    <row r="70" spans="1:6">
      <c r="A70" t="s">
        <v>69</v>
      </c>
      <c r="B70" t="s">
        <v>380</v>
      </c>
      <c r="C70">
        <f>VLOOKUP(B70,'[1]oasis_cross-sectional'!A$1:K$236,4,FALSE)</f>
        <v>80</v>
      </c>
      <c r="D70">
        <f>VLOOKUP(B70,'[1]oasis_cross-sectional'!A$1:K$236,7,FALSE)</f>
        <v>20</v>
      </c>
      <c r="E70" t="s">
        <v>620</v>
      </c>
      <c r="F70" t="str">
        <f>VLOOKUP(B70,'[1]oasis_cross-sectional'!A$1:K$236,2,FALSE)</f>
        <v>M</v>
      </c>
    </row>
    <row r="71" spans="1:6">
      <c r="A71" t="s">
        <v>70</v>
      </c>
      <c r="B71" t="s">
        <v>381</v>
      </c>
      <c r="C71">
        <f>VLOOKUP(B71,'[1]oasis_cross-sectional'!A$1:K$236,4,FALSE)</f>
        <v>64</v>
      </c>
      <c r="D71">
        <f>VLOOKUP(B71,'[1]oasis_cross-sectional'!A$1:K$236,7,FALSE)</f>
        <v>29</v>
      </c>
      <c r="E71" t="s">
        <v>620</v>
      </c>
      <c r="F71" t="str">
        <f>VLOOKUP(B71,'[1]oasis_cross-sectional'!A$1:K$236,2,FALSE)</f>
        <v>M</v>
      </c>
    </row>
    <row r="72" spans="1:6">
      <c r="A72" t="s">
        <v>71</v>
      </c>
      <c r="B72" t="s">
        <v>382</v>
      </c>
      <c r="C72">
        <f>VLOOKUP(B72,'[1]oasis_cross-sectional'!A$1:K$236,4,FALSE)</f>
        <v>87</v>
      </c>
      <c r="D72">
        <f>VLOOKUP(B72,'[1]oasis_cross-sectional'!A$1:K$236,7,FALSE)</f>
        <v>22</v>
      </c>
      <c r="E72" t="s">
        <v>620</v>
      </c>
      <c r="F72" t="str">
        <f>VLOOKUP(B72,'[1]oasis_cross-sectional'!A$1:K$236,2,FALSE)</f>
        <v>F</v>
      </c>
    </row>
    <row r="73" spans="1:6">
      <c r="A73" t="s">
        <v>72</v>
      </c>
      <c r="B73" t="s">
        <v>383</v>
      </c>
      <c r="C73">
        <f>VLOOKUP(B73,'[1]oasis_cross-sectional'!A$1:K$236,4,FALSE)</f>
        <v>80</v>
      </c>
      <c r="D73">
        <f>VLOOKUP(B73,'[1]oasis_cross-sectional'!A$1:K$236,7,FALSE)</f>
        <v>28</v>
      </c>
      <c r="E73" t="s">
        <v>620</v>
      </c>
      <c r="F73" t="str">
        <f>VLOOKUP(B73,'[1]oasis_cross-sectional'!A$1:K$236,2,FALSE)</f>
        <v>M</v>
      </c>
    </row>
    <row r="74" spans="1:6">
      <c r="A74" t="s">
        <v>73</v>
      </c>
      <c r="B74" t="s">
        <v>384</v>
      </c>
      <c r="C74">
        <f>VLOOKUP(B74,'[1]oasis_cross-sectional'!A$1:K$236,4,FALSE)</f>
        <v>72</v>
      </c>
      <c r="D74">
        <f>VLOOKUP(B74,'[1]oasis_cross-sectional'!A$1:K$236,7,FALSE)</f>
        <v>28</v>
      </c>
      <c r="E74" t="s">
        <v>620</v>
      </c>
      <c r="F74" t="str">
        <f>VLOOKUP(B74,'[1]oasis_cross-sectional'!A$1:K$236,2,FALSE)</f>
        <v>F</v>
      </c>
    </row>
    <row r="75" spans="1:6">
      <c r="A75" t="s">
        <v>74</v>
      </c>
      <c r="B75" t="s">
        <v>385</v>
      </c>
      <c r="C75">
        <f>VLOOKUP(B75,'[1]oasis_cross-sectional'!A$1:K$236,4,FALSE)</f>
        <v>70</v>
      </c>
      <c r="D75">
        <f>VLOOKUP(B75,'[1]oasis_cross-sectional'!A$1:K$236,7,FALSE)</f>
        <v>27</v>
      </c>
      <c r="E75" t="s">
        <v>620</v>
      </c>
      <c r="F75" t="str">
        <f>VLOOKUP(B75,'[1]oasis_cross-sectional'!A$1:K$236,2,FALSE)</f>
        <v>M</v>
      </c>
    </row>
    <row r="76" spans="1:6">
      <c r="A76" t="s">
        <v>75</v>
      </c>
      <c r="B76" t="s">
        <v>386</v>
      </c>
      <c r="C76">
        <f>VLOOKUP(B76,'[1]oasis_cross-sectional'!A$1:K$236,4,FALSE)</f>
        <v>66</v>
      </c>
      <c r="D76">
        <f>VLOOKUP(B76,'[1]oasis_cross-sectional'!A$1:K$236,7,FALSE)</f>
        <v>30</v>
      </c>
      <c r="E76" t="s">
        <v>620</v>
      </c>
      <c r="F76" t="str">
        <f>VLOOKUP(B76,'[1]oasis_cross-sectional'!A$1:K$236,2,FALSE)</f>
        <v>M</v>
      </c>
    </row>
    <row r="77" spans="1:6">
      <c r="A77" t="s">
        <v>76</v>
      </c>
      <c r="B77" t="s">
        <v>387</v>
      </c>
      <c r="C77">
        <f>VLOOKUP(B77,'[1]oasis_cross-sectional'!A$1:K$236,4,FALSE)</f>
        <v>82</v>
      </c>
      <c r="D77">
        <f>VLOOKUP(B77,'[1]oasis_cross-sectional'!A$1:K$236,7,FALSE)</f>
        <v>28</v>
      </c>
      <c r="E77" t="s">
        <v>620</v>
      </c>
      <c r="F77" t="str">
        <f>VLOOKUP(B77,'[1]oasis_cross-sectional'!A$1:K$236,2,FALSE)</f>
        <v>F</v>
      </c>
    </row>
    <row r="78" spans="1:6">
      <c r="A78" t="s">
        <v>77</v>
      </c>
      <c r="B78" t="s">
        <v>388</v>
      </c>
      <c r="C78">
        <f>VLOOKUP(B78,'[1]oasis_cross-sectional'!A$1:K$236,4,FALSE)</f>
        <v>71</v>
      </c>
      <c r="D78">
        <f>VLOOKUP(B78,'[1]oasis_cross-sectional'!A$1:K$236,7,FALSE)</f>
        <v>28</v>
      </c>
      <c r="E78" t="s">
        <v>620</v>
      </c>
      <c r="F78" t="str">
        <f>VLOOKUP(B78,'[1]oasis_cross-sectional'!A$1:K$236,2,FALSE)</f>
        <v>M</v>
      </c>
    </row>
    <row r="79" spans="1:6">
      <c r="A79" t="s">
        <v>78</v>
      </c>
      <c r="B79" t="s">
        <v>389</v>
      </c>
      <c r="C79">
        <f>VLOOKUP(B79,'[1]oasis_cross-sectional'!A$1:K$236,4,FALSE)</f>
        <v>86</v>
      </c>
      <c r="D79">
        <f>VLOOKUP(B79,'[1]oasis_cross-sectional'!A$1:K$236,7,FALSE)</f>
        <v>30</v>
      </c>
      <c r="E79" t="s">
        <v>620</v>
      </c>
      <c r="F79" t="str">
        <f>VLOOKUP(B79,'[1]oasis_cross-sectional'!A$1:K$236,2,FALSE)</f>
        <v>F</v>
      </c>
    </row>
    <row r="80" spans="1:6">
      <c r="A80" t="s">
        <v>79</v>
      </c>
      <c r="B80" t="s">
        <v>390</v>
      </c>
      <c r="C80">
        <f>VLOOKUP(B80,'[1]oasis_cross-sectional'!A$1:K$236,4,FALSE)</f>
        <v>81</v>
      </c>
      <c r="D80">
        <f>VLOOKUP(B80,'[1]oasis_cross-sectional'!A$1:K$236,7,FALSE)</f>
        <v>26</v>
      </c>
      <c r="E80" t="s">
        <v>620</v>
      </c>
      <c r="F80" t="str">
        <f>VLOOKUP(B80,'[1]oasis_cross-sectional'!A$1:K$236,2,FALSE)</f>
        <v>M</v>
      </c>
    </row>
    <row r="81" spans="1:6">
      <c r="A81" t="s">
        <v>80</v>
      </c>
      <c r="B81" t="s">
        <v>391</v>
      </c>
      <c r="C81">
        <f>VLOOKUP(B81,'[1]oasis_cross-sectional'!A$1:K$236,4,FALSE)</f>
        <v>84</v>
      </c>
      <c r="D81">
        <f>VLOOKUP(B81,'[1]oasis_cross-sectional'!A$1:K$236,7,FALSE)</f>
        <v>27</v>
      </c>
      <c r="E81" t="s">
        <v>620</v>
      </c>
      <c r="F81" t="str">
        <f>VLOOKUP(B81,'[1]oasis_cross-sectional'!A$1:K$236,2,FALSE)</f>
        <v>F</v>
      </c>
    </row>
    <row r="82" spans="1:6">
      <c r="A82" t="s">
        <v>81</v>
      </c>
      <c r="B82" t="s">
        <v>392</v>
      </c>
      <c r="C82">
        <f>VLOOKUP(B82,'[1]oasis_cross-sectional'!A$1:K$236,4,FALSE)</f>
        <v>81</v>
      </c>
      <c r="D82">
        <f>VLOOKUP(B82,'[1]oasis_cross-sectional'!A$1:K$236,7,FALSE)</f>
        <v>28</v>
      </c>
      <c r="E82" t="s">
        <v>620</v>
      </c>
      <c r="F82" t="str">
        <f>VLOOKUP(B82,'[1]oasis_cross-sectional'!A$1:K$236,2,FALSE)</f>
        <v>F</v>
      </c>
    </row>
    <row r="83" spans="1:6">
      <c r="A83" t="s">
        <v>82</v>
      </c>
      <c r="B83" t="s">
        <v>393</v>
      </c>
      <c r="C83">
        <f>VLOOKUP(B83,'[1]oasis_cross-sectional'!A$1:K$236,4,FALSE)</f>
        <v>74</v>
      </c>
      <c r="D83">
        <f>VLOOKUP(B83,'[1]oasis_cross-sectional'!A$1:K$236,7,FALSE)</f>
        <v>29</v>
      </c>
      <c r="E83" t="s">
        <v>620</v>
      </c>
      <c r="F83" t="str">
        <f>VLOOKUP(B83,'[1]oasis_cross-sectional'!A$1:K$236,2,FALSE)</f>
        <v>F</v>
      </c>
    </row>
    <row r="84" spans="1:6">
      <c r="A84" t="s">
        <v>83</v>
      </c>
      <c r="B84" t="s">
        <v>394</v>
      </c>
      <c r="C84">
        <f>VLOOKUP(B84,'[1]oasis_cross-sectional'!A$1:K$236,4,FALSE)</f>
        <v>80</v>
      </c>
      <c r="D84">
        <f>VLOOKUP(B84,'[1]oasis_cross-sectional'!A$1:K$236,7,FALSE)</f>
        <v>27</v>
      </c>
      <c r="E84" t="s">
        <v>620</v>
      </c>
      <c r="F84" t="str">
        <f>VLOOKUP(B84,'[1]oasis_cross-sectional'!A$1:K$236,2,FALSE)</f>
        <v>F</v>
      </c>
    </row>
    <row r="85" spans="1:6">
      <c r="A85" t="s">
        <v>84</v>
      </c>
      <c r="B85" t="s">
        <v>395</v>
      </c>
      <c r="C85">
        <f>VLOOKUP(B85,'[1]oasis_cross-sectional'!A$1:K$236,4,FALSE)</f>
        <v>88</v>
      </c>
      <c r="D85">
        <f>VLOOKUP(B85,'[1]oasis_cross-sectional'!A$1:K$236,7,FALSE)</f>
        <v>30</v>
      </c>
      <c r="E85" t="s">
        <v>620</v>
      </c>
      <c r="F85" t="str">
        <f>VLOOKUP(B85,'[1]oasis_cross-sectional'!A$1:K$236,2,FALSE)</f>
        <v>F</v>
      </c>
    </row>
    <row r="86" spans="1:6">
      <c r="A86" t="s">
        <v>85</v>
      </c>
      <c r="B86" t="s">
        <v>396</v>
      </c>
      <c r="C86">
        <f>VLOOKUP(B86,'[1]oasis_cross-sectional'!A$1:K$236,4,FALSE)</f>
        <v>71</v>
      </c>
      <c r="D86">
        <f>VLOOKUP(B86,'[1]oasis_cross-sectional'!A$1:K$236,7,FALSE)</f>
        <v>29</v>
      </c>
      <c r="E86" t="s">
        <v>620</v>
      </c>
      <c r="F86" t="str">
        <f>VLOOKUP(B86,'[1]oasis_cross-sectional'!A$1:K$236,2,FALSE)</f>
        <v>M</v>
      </c>
    </row>
    <row r="87" spans="1:6">
      <c r="A87" t="s">
        <v>86</v>
      </c>
      <c r="B87" t="s">
        <v>397</v>
      </c>
      <c r="C87">
        <f>VLOOKUP(B87,'[1]oasis_cross-sectional'!A$1:K$236,4,FALSE)</f>
        <v>88</v>
      </c>
      <c r="D87">
        <f>VLOOKUP(B87,'[1]oasis_cross-sectional'!A$1:K$236,7,FALSE)</f>
        <v>29</v>
      </c>
      <c r="E87" t="s">
        <v>620</v>
      </c>
      <c r="F87" t="str">
        <f>VLOOKUP(B87,'[1]oasis_cross-sectional'!A$1:K$236,2,FALSE)</f>
        <v>F</v>
      </c>
    </row>
    <row r="88" spans="1:6">
      <c r="A88" t="s">
        <v>87</v>
      </c>
      <c r="B88" t="s">
        <v>398</v>
      </c>
      <c r="C88">
        <f>VLOOKUP(B88,'[1]oasis_cross-sectional'!A$1:K$236,4,FALSE)</f>
        <v>54</v>
      </c>
      <c r="D88">
        <f>VLOOKUP(B88,'[1]oasis_cross-sectional'!A$1:K$236,7,FALSE)</f>
        <v>30</v>
      </c>
      <c r="E88" t="s">
        <v>620</v>
      </c>
      <c r="F88" t="str">
        <f>VLOOKUP(B88,'[1]oasis_cross-sectional'!A$1:K$236,2,FALSE)</f>
        <v>F</v>
      </c>
    </row>
    <row r="89" spans="1:6">
      <c r="A89" t="s">
        <v>88</v>
      </c>
      <c r="B89" t="s">
        <v>399</v>
      </c>
      <c r="C89">
        <f>VLOOKUP(B89,'[1]oasis_cross-sectional'!A$1:K$236,4,FALSE)</f>
        <v>87</v>
      </c>
      <c r="D89">
        <f>VLOOKUP(B89,'[1]oasis_cross-sectional'!A$1:K$236,7,FALSE)</f>
        <v>21</v>
      </c>
      <c r="E89" t="s">
        <v>620</v>
      </c>
      <c r="F89" t="str">
        <f>VLOOKUP(B89,'[1]oasis_cross-sectional'!A$1:K$236,2,FALSE)</f>
        <v>F</v>
      </c>
    </row>
    <row r="90" spans="1:6">
      <c r="A90" t="s">
        <v>89</v>
      </c>
      <c r="B90" t="s">
        <v>400</v>
      </c>
      <c r="C90">
        <f>VLOOKUP(B90,'[1]oasis_cross-sectional'!A$1:K$236,4,FALSE)</f>
        <v>80</v>
      </c>
      <c r="D90">
        <f>VLOOKUP(B90,'[1]oasis_cross-sectional'!A$1:K$236,7,FALSE)</f>
        <v>30</v>
      </c>
      <c r="E90" t="s">
        <v>620</v>
      </c>
      <c r="F90" t="str">
        <f>VLOOKUP(B90,'[1]oasis_cross-sectional'!A$1:K$236,2,FALSE)</f>
        <v>F</v>
      </c>
    </row>
    <row r="91" spans="1:6">
      <c r="A91" t="s">
        <v>90</v>
      </c>
      <c r="B91" t="s">
        <v>401</v>
      </c>
      <c r="C91">
        <f>VLOOKUP(B91,'[1]oasis_cross-sectional'!A$1:K$236,4,FALSE)</f>
        <v>49</v>
      </c>
      <c r="D91">
        <f>VLOOKUP(B91,'[1]oasis_cross-sectional'!A$1:K$236,7,FALSE)</f>
        <v>30</v>
      </c>
      <c r="E91" t="s">
        <v>620</v>
      </c>
      <c r="F91" t="str">
        <f>VLOOKUP(B91,'[1]oasis_cross-sectional'!A$1:K$236,2,FALSE)</f>
        <v>F</v>
      </c>
    </row>
    <row r="92" spans="1:6">
      <c r="A92" t="s">
        <v>91</v>
      </c>
      <c r="B92" t="s">
        <v>402</v>
      </c>
      <c r="C92">
        <f>VLOOKUP(B92,'[1]oasis_cross-sectional'!A$1:K$236,4,FALSE)</f>
        <v>65</v>
      </c>
      <c r="D92">
        <f>VLOOKUP(B92,'[1]oasis_cross-sectional'!A$1:K$236,7,FALSE)</f>
        <v>16</v>
      </c>
      <c r="E92" t="s">
        <v>620</v>
      </c>
      <c r="F92" t="str">
        <f>VLOOKUP(B92,'[1]oasis_cross-sectional'!A$1:K$236,2,FALSE)</f>
        <v>F</v>
      </c>
    </row>
    <row r="93" spans="1:6">
      <c r="A93" t="s">
        <v>92</v>
      </c>
      <c r="B93" t="s">
        <v>403</v>
      </c>
      <c r="C93">
        <f>VLOOKUP(B93,'[1]oasis_cross-sectional'!A$1:K$236,4,FALSE)</f>
        <v>78</v>
      </c>
      <c r="D93">
        <f>VLOOKUP(B93,'[1]oasis_cross-sectional'!A$1:K$236,7,FALSE)</f>
        <v>17</v>
      </c>
      <c r="E93" t="s">
        <v>620</v>
      </c>
      <c r="F93" t="str">
        <f>VLOOKUP(B93,'[1]oasis_cross-sectional'!A$1:K$236,2,FALSE)</f>
        <v>F</v>
      </c>
    </row>
    <row r="94" spans="1:6">
      <c r="A94" t="s">
        <v>93</v>
      </c>
      <c r="B94" t="s">
        <v>404</v>
      </c>
      <c r="C94">
        <f>VLOOKUP(B94,'[1]oasis_cross-sectional'!A$1:K$236,4,FALSE)</f>
        <v>84</v>
      </c>
      <c r="D94">
        <f>VLOOKUP(B94,'[1]oasis_cross-sectional'!A$1:K$236,7,FALSE)</f>
        <v>29</v>
      </c>
      <c r="E94" t="s">
        <v>620</v>
      </c>
      <c r="F94" t="str">
        <f>VLOOKUP(B94,'[1]oasis_cross-sectional'!A$1:K$236,2,FALSE)</f>
        <v>M</v>
      </c>
    </row>
    <row r="95" spans="1:6">
      <c r="A95" t="s">
        <v>94</v>
      </c>
      <c r="B95" t="s">
        <v>405</v>
      </c>
      <c r="C95">
        <f>VLOOKUP(B95,'[1]oasis_cross-sectional'!A$1:K$236,4,FALSE)</f>
        <v>48</v>
      </c>
      <c r="D95">
        <f>VLOOKUP(B95,'[1]oasis_cross-sectional'!A$1:K$236,7,FALSE)</f>
        <v>30</v>
      </c>
      <c r="E95" t="s">
        <v>620</v>
      </c>
      <c r="F95" t="str">
        <f>VLOOKUP(B95,'[1]oasis_cross-sectional'!A$1:K$236,2,FALSE)</f>
        <v>M</v>
      </c>
    </row>
    <row r="96" spans="1:6">
      <c r="A96" t="s">
        <v>95</v>
      </c>
      <c r="B96" t="s">
        <v>406</v>
      </c>
      <c r="C96">
        <f>VLOOKUP(B96,'[1]oasis_cross-sectional'!A$1:K$236,4,FALSE)</f>
        <v>76</v>
      </c>
      <c r="D96">
        <f>VLOOKUP(B96,'[1]oasis_cross-sectional'!A$1:K$236,7,FALSE)</f>
        <v>28</v>
      </c>
      <c r="E96" t="s">
        <v>620</v>
      </c>
      <c r="F96" t="str">
        <f>VLOOKUP(B96,'[1]oasis_cross-sectional'!A$1:K$236,2,FALSE)</f>
        <v>F</v>
      </c>
    </row>
    <row r="97" spans="1:6">
      <c r="A97" t="s">
        <v>96</v>
      </c>
      <c r="B97" t="s">
        <v>407</v>
      </c>
      <c r="C97">
        <f>VLOOKUP(B97,'[1]oasis_cross-sectional'!A$1:K$236,4,FALSE)</f>
        <v>89</v>
      </c>
      <c r="D97">
        <f>VLOOKUP(B97,'[1]oasis_cross-sectional'!A$1:K$236,7,FALSE)</f>
        <v>29</v>
      </c>
      <c r="E97" t="s">
        <v>620</v>
      </c>
      <c r="F97" t="str">
        <f>VLOOKUP(B97,'[1]oasis_cross-sectional'!A$1:K$236,2,FALSE)</f>
        <v>F</v>
      </c>
    </row>
    <row r="98" spans="1:6">
      <c r="A98" t="s">
        <v>97</v>
      </c>
      <c r="B98" t="s">
        <v>408</v>
      </c>
      <c r="C98">
        <f>VLOOKUP(B98,'[1]oasis_cross-sectional'!A$1:K$236,4,FALSE)</f>
        <v>69</v>
      </c>
      <c r="D98">
        <f>VLOOKUP(B98,'[1]oasis_cross-sectional'!A$1:K$236,7,FALSE)</f>
        <v>30</v>
      </c>
      <c r="E98" t="s">
        <v>620</v>
      </c>
      <c r="F98" t="str">
        <f>VLOOKUP(B98,'[1]oasis_cross-sectional'!A$1:K$236,2,FALSE)</f>
        <v>M</v>
      </c>
    </row>
    <row r="99" spans="1:6">
      <c r="A99" t="s">
        <v>98</v>
      </c>
      <c r="B99" t="s">
        <v>409</v>
      </c>
      <c r="C99">
        <f>VLOOKUP(B99,'[1]oasis_cross-sectional'!A$1:K$236,4,FALSE)</f>
        <v>60</v>
      </c>
      <c r="D99">
        <f>VLOOKUP(B99,'[1]oasis_cross-sectional'!A$1:K$236,7,FALSE)</f>
        <v>30</v>
      </c>
      <c r="E99" t="s">
        <v>620</v>
      </c>
      <c r="F99" t="str">
        <f>VLOOKUP(B99,'[1]oasis_cross-sectional'!A$1:K$236,2,FALSE)</f>
        <v>F</v>
      </c>
    </row>
    <row r="100" spans="1:6">
      <c r="A100" t="s">
        <v>99</v>
      </c>
      <c r="B100" t="s">
        <v>410</v>
      </c>
      <c r="C100">
        <f>VLOOKUP(B100,'[1]oasis_cross-sectional'!A$1:K$236,4,FALSE)</f>
        <v>85</v>
      </c>
      <c r="D100">
        <f>VLOOKUP(B100,'[1]oasis_cross-sectional'!A$1:K$236,7,FALSE)</f>
        <v>26</v>
      </c>
      <c r="E100" t="s">
        <v>620</v>
      </c>
      <c r="F100" t="str">
        <f>VLOOKUP(B100,'[1]oasis_cross-sectional'!A$1:K$236,2,FALSE)</f>
        <v>F</v>
      </c>
    </row>
    <row r="101" spans="1:6">
      <c r="A101" t="s">
        <v>100</v>
      </c>
      <c r="B101" t="s">
        <v>411</v>
      </c>
      <c r="C101">
        <f>VLOOKUP(B101,'[1]oasis_cross-sectional'!A$1:K$236,4,FALSE)</f>
        <v>71</v>
      </c>
      <c r="D101">
        <f>VLOOKUP(B101,'[1]oasis_cross-sectional'!A$1:K$236,7,FALSE)</f>
        <v>30</v>
      </c>
      <c r="E101" t="s">
        <v>620</v>
      </c>
      <c r="F101" t="str">
        <f>VLOOKUP(B101,'[1]oasis_cross-sectional'!A$1:K$236,2,FALSE)</f>
        <v>F</v>
      </c>
    </row>
    <row r="102" spans="1:6">
      <c r="A102" t="s">
        <v>101</v>
      </c>
      <c r="B102" t="s">
        <v>412</v>
      </c>
      <c r="C102">
        <f>VLOOKUP(B102,'[1]oasis_cross-sectional'!A$1:K$236,4,FALSE)</f>
        <v>48</v>
      </c>
      <c r="D102">
        <f>VLOOKUP(B102,'[1]oasis_cross-sectional'!A$1:K$236,7,FALSE)</f>
        <v>29</v>
      </c>
      <c r="E102" t="s">
        <v>620</v>
      </c>
      <c r="F102" t="str">
        <f>VLOOKUP(B102,'[1]oasis_cross-sectional'!A$1:K$236,2,FALSE)</f>
        <v>M</v>
      </c>
    </row>
    <row r="103" spans="1:6">
      <c r="A103" t="s">
        <v>102</v>
      </c>
      <c r="B103" t="s">
        <v>413</v>
      </c>
      <c r="C103">
        <f>VLOOKUP(B103,'[1]oasis_cross-sectional'!A$1:K$236,4,FALSE)</f>
        <v>75</v>
      </c>
      <c r="D103">
        <f>VLOOKUP(B103,'[1]oasis_cross-sectional'!A$1:K$236,7,FALSE)</f>
        <v>30</v>
      </c>
      <c r="E103" t="s">
        <v>620</v>
      </c>
      <c r="F103" t="str">
        <f>VLOOKUP(B103,'[1]oasis_cross-sectional'!A$1:K$236,2,FALSE)</f>
        <v>M</v>
      </c>
    </row>
    <row r="104" spans="1:6">
      <c r="A104" t="s">
        <v>103</v>
      </c>
      <c r="B104" t="s">
        <v>414</v>
      </c>
      <c r="C104">
        <f>VLOOKUP(B104,'[1]oasis_cross-sectional'!A$1:K$236,4,FALSE)</f>
        <v>78</v>
      </c>
      <c r="D104">
        <f>VLOOKUP(B104,'[1]oasis_cross-sectional'!A$1:K$236,7,FALSE)</f>
        <v>30</v>
      </c>
      <c r="E104" t="s">
        <v>620</v>
      </c>
      <c r="F104" t="str">
        <f>VLOOKUP(B104,'[1]oasis_cross-sectional'!A$1:K$236,2,FALSE)</f>
        <v>F</v>
      </c>
    </row>
    <row r="105" spans="1:6">
      <c r="A105" t="s">
        <v>104</v>
      </c>
      <c r="B105" t="s">
        <v>415</v>
      </c>
      <c r="C105">
        <f>VLOOKUP(B105,'[1]oasis_cross-sectional'!A$1:K$236,4,FALSE)</f>
        <v>51</v>
      </c>
      <c r="D105">
        <f>VLOOKUP(B105,'[1]oasis_cross-sectional'!A$1:K$236,7,FALSE)</f>
        <v>29</v>
      </c>
      <c r="E105" t="s">
        <v>620</v>
      </c>
      <c r="F105" t="str">
        <f>VLOOKUP(B105,'[1]oasis_cross-sectional'!A$1:K$236,2,FALSE)</f>
        <v>M</v>
      </c>
    </row>
    <row r="106" spans="1:6">
      <c r="A106" t="s">
        <v>105</v>
      </c>
      <c r="B106" t="s">
        <v>416</v>
      </c>
      <c r="C106">
        <f>VLOOKUP(B106,'[1]oasis_cross-sectional'!A$1:K$236,4,FALSE)</f>
        <v>55</v>
      </c>
      <c r="D106">
        <f>VLOOKUP(B106,'[1]oasis_cross-sectional'!A$1:K$236,7,FALSE)</f>
        <v>29</v>
      </c>
      <c r="E106" t="s">
        <v>620</v>
      </c>
      <c r="F106" t="str">
        <f>VLOOKUP(B106,'[1]oasis_cross-sectional'!A$1:K$236,2,FALSE)</f>
        <v>F</v>
      </c>
    </row>
    <row r="107" spans="1:6">
      <c r="A107" t="s">
        <v>106</v>
      </c>
      <c r="B107" t="s">
        <v>417</v>
      </c>
      <c r="C107">
        <f>VLOOKUP(B107,'[1]oasis_cross-sectional'!A$1:K$236,4,FALSE)</f>
        <v>73</v>
      </c>
      <c r="D107">
        <f>VLOOKUP(B107,'[1]oasis_cross-sectional'!A$1:K$236,7,FALSE)</f>
        <v>28</v>
      </c>
      <c r="E107" t="s">
        <v>620</v>
      </c>
      <c r="F107" t="str">
        <f>VLOOKUP(B107,'[1]oasis_cross-sectional'!A$1:K$236,2,FALSE)</f>
        <v>F</v>
      </c>
    </row>
    <row r="108" spans="1:6">
      <c r="A108" t="s">
        <v>107</v>
      </c>
      <c r="B108" t="s">
        <v>418</v>
      </c>
      <c r="C108">
        <f>VLOOKUP(B108,'[1]oasis_cross-sectional'!A$1:K$236,4,FALSE)</f>
        <v>74</v>
      </c>
      <c r="D108">
        <f>VLOOKUP(B108,'[1]oasis_cross-sectional'!A$1:K$236,7,FALSE)</f>
        <v>28</v>
      </c>
      <c r="E108" t="s">
        <v>620</v>
      </c>
      <c r="F108" t="str">
        <f>VLOOKUP(B108,'[1]oasis_cross-sectional'!A$1:K$236,2,FALSE)</f>
        <v>F</v>
      </c>
    </row>
    <row r="109" spans="1:6">
      <c r="A109" t="s">
        <v>108</v>
      </c>
      <c r="B109" t="s">
        <v>419</v>
      </c>
      <c r="C109">
        <f>VLOOKUP(B109,'[1]oasis_cross-sectional'!A$1:K$236,4,FALSE)</f>
        <v>71</v>
      </c>
      <c r="D109">
        <f>VLOOKUP(B109,'[1]oasis_cross-sectional'!A$1:K$236,7,FALSE)</f>
        <v>30</v>
      </c>
      <c r="E109" t="s">
        <v>620</v>
      </c>
      <c r="F109" t="str">
        <f>VLOOKUP(B109,'[1]oasis_cross-sectional'!A$1:K$236,2,FALSE)</f>
        <v>F</v>
      </c>
    </row>
    <row r="110" spans="1:6">
      <c r="A110" t="s">
        <v>109</v>
      </c>
      <c r="B110" t="s">
        <v>420</v>
      </c>
      <c r="C110">
        <f>VLOOKUP(B110,'[1]oasis_cross-sectional'!A$1:K$236,4,FALSE)</f>
        <v>78</v>
      </c>
      <c r="D110">
        <f>VLOOKUP(B110,'[1]oasis_cross-sectional'!A$1:K$236,7,FALSE)</f>
        <v>27</v>
      </c>
      <c r="E110" t="s">
        <v>620</v>
      </c>
      <c r="F110" t="str">
        <f>VLOOKUP(B110,'[1]oasis_cross-sectional'!A$1:K$236,2,FALSE)</f>
        <v>F</v>
      </c>
    </row>
    <row r="111" spans="1:6">
      <c r="A111" t="s">
        <v>110</v>
      </c>
      <c r="B111" t="s">
        <v>421</v>
      </c>
      <c r="C111">
        <f>VLOOKUP(B111,'[1]oasis_cross-sectional'!A$1:K$236,4,FALSE)</f>
        <v>75</v>
      </c>
      <c r="D111">
        <f>VLOOKUP(B111,'[1]oasis_cross-sectional'!A$1:K$236,7,FALSE)</f>
        <v>30</v>
      </c>
      <c r="E111" t="s">
        <v>620</v>
      </c>
      <c r="F111" t="str">
        <f>VLOOKUP(B111,'[1]oasis_cross-sectional'!A$1:K$236,2,FALSE)</f>
        <v>F</v>
      </c>
    </row>
    <row r="112" spans="1:6">
      <c r="A112" t="s">
        <v>111</v>
      </c>
      <c r="B112" t="s">
        <v>422</v>
      </c>
      <c r="C112">
        <f>VLOOKUP(B112,'[1]oasis_cross-sectional'!A$1:K$236,4,FALSE)</f>
        <v>94</v>
      </c>
      <c r="D112">
        <f>VLOOKUP(B112,'[1]oasis_cross-sectional'!A$1:K$236,7,FALSE)</f>
        <v>29</v>
      </c>
      <c r="E112" t="s">
        <v>620</v>
      </c>
      <c r="F112" t="str">
        <f>VLOOKUP(B112,'[1]oasis_cross-sectional'!A$1:K$236,2,FALSE)</f>
        <v>F</v>
      </c>
    </row>
    <row r="113" spans="1:6">
      <c r="A113" t="s">
        <v>112</v>
      </c>
      <c r="B113" t="s">
        <v>423</v>
      </c>
      <c r="C113">
        <f>VLOOKUP(B113,'[1]oasis_cross-sectional'!A$1:K$236,4,FALSE)</f>
        <v>84</v>
      </c>
      <c r="D113">
        <f>VLOOKUP(B113,'[1]oasis_cross-sectional'!A$1:K$236,7,FALSE)</f>
        <v>20</v>
      </c>
      <c r="E113" t="s">
        <v>620</v>
      </c>
      <c r="F113" t="str">
        <f>VLOOKUP(B113,'[1]oasis_cross-sectional'!A$1:K$236,2,FALSE)</f>
        <v>M</v>
      </c>
    </row>
    <row r="114" spans="1:6">
      <c r="A114" t="s">
        <v>113</v>
      </c>
      <c r="B114" t="s">
        <v>424</v>
      </c>
      <c r="C114">
        <f>VLOOKUP(B114,'[1]oasis_cross-sectional'!A$1:K$236,4,FALSE)</f>
        <v>90</v>
      </c>
      <c r="D114">
        <f>VLOOKUP(B114,'[1]oasis_cross-sectional'!A$1:K$236,7,FALSE)</f>
        <v>23</v>
      </c>
      <c r="E114" t="s">
        <v>620</v>
      </c>
      <c r="F114" t="str">
        <f>VLOOKUP(B114,'[1]oasis_cross-sectional'!A$1:K$236,2,FALSE)</f>
        <v>M</v>
      </c>
    </row>
    <row r="115" spans="1:6">
      <c r="A115" t="s">
        <v>114</v>
      </c>
      <c r="B115" t="s">
        <v>425</v>
      </c>
      <c r="C115">
        <f>VLOOKUP(B115,'[1]oasis_cross-sectional'!A$1:K$236,4,FALSE)</f>
        <v>81</v>
      </c>
      <c r="D115">
        <f>VLOOKUP(B115,'[1]oasis_cross-sectional'!A$1:K$236,7,FALSE)</f>
        <v>28</v>
      </c>
      <c r="E115" t="s">
        <v>620</v>
      </c>
      <c r="F115" t="str">
        <f>VLOOKUP(B115,'[1]oasis_cross-sectional'!A$1:K$236,2,FALSE)</f>
        <v>F</v>
      </c>
    </row>
    <row r="116" spans="1:6">
      <c r="A116" t="s">
        <v>115</v>
      </c>
      <c r="B116" t="s">
        <v>426</v>
      </c>
      <c r="C116">
        <f>VLOOKUP(B116,'[1]oasis_cross-sectional'!A$1:K$236,4,FALSE)</f>
        <v>55</v>
      </c>
      <c r="D116">
        <f>VLOOKUP(B116,'[1]oasis_cross-sectional'!A$1:K$236,7,FALSE)</f>
        <v>30</v>
      </c>
      <c r="E116" t="s">
        <v>620</v>
      </c>
      <c r="F116" t="str">
        <f>VLOOKUP(B116,'[1]oasis_cross-sectional'!A$1:K$236,2,FALSE)</f>
        <v>F</v>
      </c>
    </row>
    <row r="117" spans="1:6">
      <c r="A117" t="s">
        <v>116</v>
      </c>
      <c r="B117" t="s">
        <v>427</v>
      </c>
      <c r="C117">
        <f>VLOOKUP(B117,'[1]oasis_cross-sectional'!A$1:K$236,4,FALSE)</f>
        <v>77</v>
      </c>
      <c r="D117">
        <f>VLOOKUP(B117,'[1]oasis_cross-sectional'!A$1:K$236,7,FALSE)</f>
        <v>20</v>
      </c>
      <c r="E117" t="s">
        <v>620</v>
      </c>
      <c r="F117" t="str">
        <f>VLOOKUP(B117,'[1]oasis_cross-sectional'!A$1:K$236,2,FALSE)</f>
        <v>F</v>
      </c>
    </row>
    <row r="118" spans="1:6">
      <c r="A118" t="s">
        <v>117</v>
      </c>
      <c r="B118" t="s">
        <v>428</v>
      </c>
      <c r="C118">
        <f>VLOOKUP(B118,'[1]oasis_cross-sectional'!A$1:K$236,4,FALSE)</f>
        <v>75</v>
      </c>
      <c r="D118">
        <f>VLOOKUP(B118,'[1]oasis_cross-sectional'!A$1:K$236,7,FALSE)</f>
        <v>29</v>
      </c>
      <c r="E118" t="s">
        <v>620</v>
      </c>
      <c r="F118" t="str">
        <f>VLOOKUP(B118,'[1]oasis_cross-sectional'!A$1:K$236,2,FALSE)</f>
        <v>M</v>
      </c>
    </row>
    <row r="119" spans="1:6">
      <c r="A119" t="s">
        <v>118</v>
      </c>
      <c r="B119" t="s">
        <v>429</v>
      </c>
      <c r="C119">
        <f>VLOOKUP(B119,'[1]oasis_cross-sectional'!A$1:K$236,4,FALSE)</f>
        <v>72</v>
      </c>
      <c r="D119">
        <f>VLOOKUP(B119,'[1]oasis_cross-sectional'!A$1:K$236,7,FALSE)</f>
        <v>27</v>
      </c>
      <c r="E119" t="s">
        <v>620</v>
      </c>
      <c r="F119" t="str">
        <f>VLOOKUP(B119,'[1]oasis_cross-sectional'!A$1:K$236,2,FALSE)</f>
        <v>F</v>
      </c>
    </row>
    <row r="120" spans="1:6">
      <c r="A120" t="s">
        <v>119</v>
      </c>
      <c r="B120" t="s">
        <v>430</v>
      </c>
      <c r="C120">
        <f>VLOOKUP(B120,'[1]oasis_cross-sectional'!A$1:K$236,4,FALSE)</f>
        <v>77</v>
      </c>
      <c r="D120">
        <f>VLOOKUP(B120,'[1]oasis_cross-sectional'!A$1:K$236,7,FALSE)</f>
        <v>28</v>
      </c>
      <c r="E120" t="s">
        <v>620</v>
      </c>
      <c r="F120" t="str">
        <f>VLOOKUP(B120,'[1]oasis_cross-sectional'!A$1:K$236,2,FALSE)</f>
        <v>F</v>
      </c>
    </row>
    <row r="121" spans="1:6">
      <c r="A121" t="s">
        <v>120</v>
      </c>
      <c r="B121" t="s">
        <v>431</v>
      </c>
      <c r="C121">
        <f>VLOOKUP(B121,'[1]oasis_cross-sectional'!A$1:K$236,4,FALSE)</f>
        <v>74</v>
      </c>
      <c r="D121">
        <f>VLOOKUP(B121,'[1]oasis_cross-sectional'!A$1:K$236,7,FALSE)</f>
        <v>26</v>
      </c>
      <c r="E121" t="s">
        <v>620</v>
      </c>
      <c r="F121" t="str">
        <f>VLOOKUP(B121,'[1]oasis_cross-sectional'!A$1:K$236,2,FALSE)</f>
        <v>F</v>
      </c>
    </row>
    <row r="122" spans="1:6">
      <c r="A122" t="s">
        <v>121</v>
      </c>
      <c r="B122" t="s">
        <v>432</v>
      </c>
      <c r="C122">
        <f>VLOOKUP(B122,'[1]oasis_cross-sectional'!A$1:K$236,4,FALSE)</f>
        <v>74</v>
      </c>
      <c r="D122">
        <f>VLOOKUP(B122,'[1]oasis_cross-sectional'!A$1:K$236,7,FALSE)</f>
        <v>30</v>
      </c>
      <c r="E122" t="s">
        <v>620</v>
      </c>
      <c r="F122" t="str">
        <f>VLOOKUP(B122,'[1]oasis_cross-sectional'!A$1:K$236,2,FALSE)</f>
        <v>F</v>
      </c>
    </row>
    <row r="123" spans="1:6">
      <c r="A123" t="s">
        <v>122</v>
      </c>
      <c r="B123" t="s">
        <v>433</v>
      </c>
      <c r="C123">
        <f>VLOOKUP(B123,'[1]oasis_cross-sectional'!A$1:K$236,4,FALSE)</f>
        <v>64</v>
      </c>
      <c r="D123">
        <f>VLOOKUP(B123,'[1]oasis_cross-sectional'!A$1:K$236,7,FALSE)</f>
        <v>22</v>
      </c>
      <c r="E123" t="s">
        <v>620</v>
      </c>
      <c r="F123" t="str">
        <f>VLOOKUP(B123,'[1]oasis_cross-sectional'!A$1:K$236,2,FALSE)</f>
        <v>M</v>
      </c>
    </row>
    <row r="124" spans="1:6">
      <c r="A124" t="s">
        <v>123</v>
      </c>
      <c r="B124" t="s">
        <v>434</v>
      </c>
      <c r="C124">
        <f>VLOOKUP(B124,'[1]oasis_cross-sectional'!A$1:K$236,4,FALSE)</f>
        <v>80</v>
      </c>
      <c r="D124">
        <f>VLOOKUP(B124,'[1]oasis_cross-sectional'!A$1:K$236,7,FALSE)</f>
        <v>29</v>
      </c>
      <c r="E124" t="s">
        <v>620</v>
      </c>
      <c r="F124" t="str">
        <f>VLOOKUP(B124,'[1]oasis_cross-sectional'!A$1:K$236,2,FALSE)</f>
        <v>F</v>
      </c>
    </row>
    <row r="125" spans="1:6">
      <c r="A125" t="s">
        <v>124</v>
      </c>
      <c r="B125" t="s">
        <v>435</v>
      </c>
      <c r="C125">
        <f>VLOOKUP(B125,'[1]oasis_cross-sectional'!A$1:K$236,4,FALSE)</f>
        <v>90</v>
      </c>
      <c r="D125">
        <f>VLOOKUP(B125,'[1]oasis_cross-sectional'!A$1:K$236,7,FALSE)</f>
        <v>21</v>
      </c>
      <c r="E125" t="s">
        <v>620</v>
      </c>
      <c r="F125" t="str">
        <f>VLOOKUP(B125,'[1]oasis_cross-sectional'!A$1:K$236,2,FALSE)</f>
        <v>M</v>
      </c>
    </row>
    <row r="126" spans="1:6">
      <c r="A126" t="s">
        <v>125</v>
      </c>
      <c r="B126" t="s">
        <v>436</v>
      </c>
      <c r="C126">
        <f>VLOOKUP(B126,'[1]oasis_cross-sectional'!A$1:K$236,4,FALSE)</f>
        <v>85</v>
      </c>
      <c r="D126">
        <f>VLOOKUP(B126,'[1]oasis_cross-sectional'!A$1:K$236,7,FALSE)</f>
        <v>29</v>
      </c>
      <c r="E126" t="s">
        <v>620</v>
      </c>
      <c r="F126" t="str">
        <f>VLOOKUP(B126,'[1]oasis_cross-sectional'!A$1:K$236,2,FALSE)</f>
        <v>F</v>
      </c>
    </row>
    <row r="127" spans="1:6">
      <c r="A127" t="s">
        <v>126</v>
      </c>
      <c r="B127" t="s">
        <v>437</v>
      </c>
      <c r="C127">
        <f>VLOOKUP(B127,'[1]oasis_cross-sectional'!A$1:K$236,4,FALSE)</f>
        <v>71</v>
      </c>
      <c r="D127">
        <f>VLOOKUP(B127,'[1]oasis_cross-sectional'!A$1:K$236,7,FALSE)</f>
        <v>30</v>
      </c>
      <c r="E127" t="s">
        <v>620</v>
      </c>
      <c r="F127" t="str">
        <f>VLOOKUP(B127,'[1]oasis_cross-sectional'!A$1:K$236,2,FALSE)</f>
        <v>F</v>
      </c>
    </row>
    <row r="128" spans="1:6">
      <c r="A128" t="s">
        <v>127</v>
      </c>
      <c r="B128" t="s">
        <v>438</v>
      </c>
      <c r="C128">
        <f>VLOOKUP(B128,'[1]oasis_cross-sectional'!A$1:K$236,4,FALSE)</f>
        <v>70</v>
      </c>
      <c r="D128">
        <f>VLOOKUP(B128,'[1]oasis_cross-sectional'!A$1:K$236,7,FALSE)</f>
        <v>30</v>
      </c>
      <c r="E128" t="s">
        <v>620</v>
      </c>
      <c r="F128" t="str">
        <f>VLOOKUP(B128,'[1]oasis_cross-sectional'!A$1:K$236,2,FALSE)</f>
        <v>M</v>
      </c>
    </row>
    <row r="129" spans="1:6">
      <c r="A129" t="s">
        <v>128</v>
      </c>
      <c r="B129" t="s">
        <v>439</v>
      </c>
      <c r="C129">
        <f>VLOOKUP(B129,'[1]oasis_cross-sectional'!A$1:K$236,4,FALSE)</f>
        <v>78</v>
      </c>
      <c r="D129">
        <f>VLOOKUP(B129,'[1]oasis_cross-sectional'!A$1:K$236,7,FALSE)</f>
        <v>29</v>
      </c>
      <c r="E129" t="s">
        <v>620</v>
      </c>
      <c r="F129" t="str">
        <f>VLOOKUP(B129,'[1]oasis_cross-sectional'!A$1:K$236,2,FALSE)</f>
        <v>F</v>
      </c>
    </row>
    <row r="130" spans="1:6">
      <c r="A130" t="s">
        <v>129</v>
      </c>
      <c r="B130" t="s">
        <v>440</v>
      </c>
      <c r="C130">
        <f>VLOOKUP(B130,'[1]oasis_cross-sectional'!A$1:K$236,4,FALSE)</f>
        <v>87</v>
      </c>
      <c r="D130">
        <f>VLOOKUP(B130,'[1]oasis_cross-sectional'!A$1:K$236,7,FALSE)</f>
        <v>30</v>
      </c>
      <c r="E130" t="s">
        <v>620</v>
      </c>
      <c r="F130" t="str">
        <f>VLOOKUP(B130,'[1]oasis_cross-sectional'!A$1:K$236,2,FALSE)</f>
        <v>M</v>
      </c>
    </row>
    <row r="131" spans="1:6">
      <c r="A131" t="s">
        <v>130</v>
      </c>
      <c r="B131" t="s">
        <v>441</v>
      </c>
      <c r="C131">
        <f>VLOOKUP(B131,'[1]oasis_cross-sectional'!A$1:K$236,4,FALSE)</f>
        <v>46</v>
      </c>
      <c r="D131">
        <f>VLOOKUP(B131,'[1]oasis_cross-sectional'!A$1:K$236,7,FALSE)</f>
        <v>30</v>
      </c>
      <c r="E131" t="s">
        <v>620</v>
      </c>
      <c r="F131" t="str">
        <f>VLOOKUP(B131,'[1]oasis_cross-sectional'!A$1:K$236,2,FALSE)</f>
        <v>M</v>
      </c>
    </row>
    <row r="132" spans="1:6">
      <c r="A132" t="s">
        <v>131</v>
      </c>
      <c r="B132" t="s">
        <v>442</v>
      </c>
      <c r="C132">
        <f>VLOOKUP(B132,'[1]oasis_cross-sectional'!A$1:K$236,4,FALSE)</f>
        <v>79</v>
      </c>
      <c r="D132">
        <f>VLOOKUP(B132,'[1]oasis_cross-sectional'!A$1:K$236,7,FALSE)</f>
        <v>30</v>
      </c>
      <c r="E132" t="s">
        <v>620</v>
      </c>
      <c r="F132" t="str">
        <f>VLOOKUP(B132,'[1]oasis_cross-sectional'!A$1:K$236,2,FALSE)</f>
        <v>M</v>
      </c>
    </row>
    <row r="133" spans="1:6">
      <c r="A133" t="s">
        <v>132</v>
      </c>
      <c r="B133" t="s">
        <v>443</v>
      </c>
      <c r="C133">
        <f>VLOOKUP(B133,'[1]oasis_cross-sectional'!A$1:K$236,4,FALSE)</f>
        <v>51</v>
      </c>
      <c r="D133">
        <f>VLOOKUP(B133,'[1]oasis_cross-sectional'!A$1:K$236,7,FALSE)</f>
        <v>30</v>
      </c>
      <c r="E133" t="s">
        <v>620</v>
      </c>
      <c r="F133" t="str">
        <f>VLOOKUP(B133,'[1]oasis_cross-sectional'!A$1:K$236,2,FALSE)</f>
        <v>M</v>
      </c>
    </row>
    <row r="134" spans="1:6">
      <c r="A134" t="s">
        <v>133</v>
      </c>
      <c r="B134" t="s">
        <v>444</v>
      </c>
      <c r="C134">
        <f>VLOOKUP(B134,'[1]oasis_cross-sectional'!A$1:K$236,4,FALSE)</f>
        <v>80</v>
      </c>
      <c r="D134">
        <f>VLOOKUP(B134,'[1]oasis_cross-sectional'!A$1:K$236,7,FALSE)</f>
        <v>28</v>
      </c>
      <c r="E134" t="s">
        <v>620</v>
      </c>
      <c r="F134" t="str">
        <f>VLOOKUP(B134,'[1]oasis_cross-sectional'!A$1:K$236,2,FALSE)</f>
        <v>M</v>
      </c>
    </row>
    <row r="135" spans="1:6">
      <c r="A135" t="s">
        <v>134</v>
      </c>
      <c r="B135" t="s">
        <v>445</v>
      </c>
      <c r="C135">
        <f>VLOOKUP(B135,'[1]oasis_cross-sectional'!A$1:K$236,4,FALSE)</f>
        <v>78</v>
      </c>
      <c r="D135">
        <f>VLOOKUP(B135,'[1]oasis_cross-sectional'!A$1:K$236,7,FALSE)</f>
        <v>23</v>
      </c>
      <c r="E135" t="s">
        <v>620</v>
      </c>
      <c r="F135" t="str">
        <f>VLOOKUP(B135,'[1]oasis_cross-sectional'!A$1:K$236,2,FALSE)</f>
        <v>M</v>
      </c>
    </row>
    <row r="136" spans="1:6">
      <c r="A136" t="s">
        <v>135</v>
      </c>
      <c r="B136" t="s">
        <v>446</v>
      </c>
      <c r="C136">
        <f>VLOOKUP(B136,'[1]oasis_cross-sectional'!A$1:K$236,4,FALSE)</f>
        <v>72</v>
      </c>
      <c r="D136">
        <f>VLOOKUP(B136,'[1]oasis_cross-sectional'!A$1:K$236,7,FALSE)</f>
        <v>21</v>
      </c>
      <c r="E136" t="s">
        <v>620</v>
      </c>
      <c r="F136" t="str">
        <f>VLOOKUP(B136,'[1]oasis_cross-sectional'!A$1:K$236,2,FALSE)</f>
        <v>F</v>
      </c>
    </row>
    <row r="137" spans="1:6">
      <c r="A137" t="s">
        <v>136</v>
      </c>
      <c r="B137" t="s">
        <v>447</v>
      </c>
      <c r="C137">
        <f>VLOOKUP(B137,'[1]oasis_cross-sectional'!A$1:K$236,4,FALSE)</f>
        <v>93</v>
      </c>
      <c r="D137">
        <f>VLOOKUP(B137,'[1]oasis_cross-sectional'!A$1:K$236,7,FALSE)</f>
        <v>30</v>
      </c>
      <c r="E137" t="s">
        <v>620</v>
      </c>
      <c r="F137" t="str">
        <f>VLOOKUP(B137,'[1]oasis_cross-sectional'!A$1:K$236,2,FALSE)</f>
        <v>F</v>
      </c>
    </row>
    <row r="138" spans="1:6">
      <c r="A138" t="s">
        <v>137</v>
      </c>
      <c r="B138" t="s">
        <v>448</v>
      </c>
      <c r="C138">
        <f>VLOOKUP(B138,'[1]oasis_cross-sectional'!A$1:K$236,4,FALSE)</f>
        <v>89</v>
      </c>
      <c r="D138">
        <f>VLOOKUP(B138,'[1]oasis_cross-sectional'!A$1:K$236,7,FALSE)</f>
        <v>27</v>
      </c>
      <c r="E138" t="s">
        <v>620</v>
      </c>
      <c r="F138" t="str">
        <f>VLOOKUP(B138,'[1]oasis_cross-sectional'!A$1:K$236,2,FALSE)</f>
        <v>F</v>
      </c>
    </row>
    <row r="139" spans="1:6">
      <c r="A139" t="s">
        <v>138</v>
      </c>
      <c r="B139" t="s">
        <v>449</v>
      </c>
      <c r="C139">
        <f>VLOOKUP(B139,'[1]oasis_cross-sectional'!A$1:K$236,4,FALSE)</f>
        <v>75</v>
      </c>
      <c r="D139">
        <f>VLOOKUP(B139,'[1]oasis_cross-sectional'!A$1:K$236,7,FALSE)</f>
        <v>26</v>
      </c>
      <c r="E139" t="s">
        <v>620</v>
      </c>
      <c r="F139" t="str">
        <f>VLOOKUP(B139,'[1]oasis_cross-sectional'!A$1:K$236,2,FALSE)</f>
        <v>F</v>
      </c>
    </row>
    <row r="140" spans="1:6">
      <c r="A140" t="s">
        <v>139</v>
      </c>
      <c r="B140" t="s">
        <v>450</v>
      </c>
      <c r="C140">
        <f>VLOOKUP(B140,'[1]oasis_cross-sectional'!A$1:K$236,4,FALSE)</f>
        <v>89</v>
      </c>
      <c r="D140">
        <f>VLOOKUP(B140,'[1]oasis_cross-sectional'!A$1:K$236,7,FALSE)</f>
        <v>18</v>
      </c>
      <c r="E140" t="s">
        <v>620</v>
      </c>
      <c r="F140" t="str">
        <f>VLOOKUP(B140,'[1]oasis_cross-sectional'!A$1:K$236,2,FALSE)</f>
        <v>F</v>
      </c>
    </row>
    <row r="141" spans="1:6">
      <c r="A141" t="s">
        <v>140</v>
      </c>
      <c r="B141" t="s">
        <v>451</v>
      </c>
      <c r="C141">
        <f>VLOOKUP(B141,'[1]oasis_cross-sectional'!A$1:K$236,4,FALSE)</f>
        <v>58</v>
      </c>
      <c r="D141">
        <f>VLOOKUP(B141,'[1]oasis_cross-sectional'!A$1:K$236,7,FALSE)</f>
        <v>30</v>
      </c>
      <c r="E141" t="s">
        <v>620</v>
      </c>
      <c r="F141" t="str">
        <f>VLOOKUP(B141,'[1]oasis_cross-sectional'!A$1:K$236,2,FALSE)</f>
        <v>F</v>
      </c>
    </row>
    <row r="142" spans="1:6">
      <c r="A142" t="s">
        <v>141</v>
      </c>
      <c r="B142" t="s">
        <v>452</v>
      </c>
      <c r="C142">
        <f>VLOOKUP(B142,'[1]oasis_cross-sectional'!A$1:K$236,4,FALSE)</f>
        <v>96</v>
      </c>
      <c r="D142">
        <f>VLOOKUP(B142,'[1]oasis_cross-sectional'!A$1:K$236,7,FALSE)</f>
        <v>26</v>
      </c>
      <c r="E142" t="s">
        <v>620</v>
      </c>
      <c r="F142" t="str">
        <f>VLOOKUP(B142,'[1]oasis_cross-sectional'!A$1:K$236,2,FALSE)</f>
        <v>F</v>
      </c>
    </row>
    <row r="143" spans="1:6">
      <c r="A143" t="s">
        <v>142</v>
      </c>
      <c r="B143" t="s">
        <v>453</v>
      </c>
      <c r="C143">
        <f>VLOOKUP(B143,'[1]oasis_cross-sectional'!A$1:K$236,4,FALSE)</f>
        <v>73</v>
      </c>
      <c r="D143">
        <f>VLOOKUP(B143,'[1]oasis_cross-sectional'!A$1:K$236,7,FALSE)</f>
        <v>30</v>
      </c>
      <c r="E143" t="s">
        <v>620</v>
      </c>
      <c r="F143" t="str">
        <f>VLOOKUP(B143,'[1]oasis_cross-sectional'!A$1:K$236,2,FALSE)</f>
        <v>F</v>
      </c>
    </row>
    <row r="144" spans="1:6">
      <c r="A144" t="s">
        <v>143</v>
      </c>
      <c r="B144" t="s">
        <v>454</v>
      </c>
      <c r="C144">
        <f>VLOOKUP(B144,'[1]oasis_cross-sectional'!A$1:K$236,4,FALSE)</f>
        <v>78</v>
      </c>
      <c r="D144">
        <f>VLOOKUP(B144,'[1]oasis_cross-sectional'!A$1:K$236,7,FALSE)</f>
        <v>30</v>
      </c>
      <c r="E144" t="s">
        <v>620</v>
      </c>
      <c r="F144" t="str">
        <f>VLOOKUP(B144,'[1]oasis_cross-sectional'!A$1:K$236,2,FALSE)</f>
        <v>F</v>
      </c>
    </row>
    <row r="145" spans="1:6">
      <c r="A145" t="s">
        <v>144</v>
      </c>
      <c r="B145" t="s">
        <v>455</v>
      </c>
      <c r="C145">
        <f>VLOOKUP(B145,'[1]oasis_cross-sectional'!A$1:K$236,4,FALSE)</f>
        <v>91</v>
      </c>
      <c r="D145">
        <f>VLOOKUP(B145,'[1]oasis_cross-sectional'!A$1:K$236,7,FALSE)</f>
        <v>30</v>
      </c>
      <c r="E145" t="s">
        <v>620</v>
      </c>
      <c r="F145" t="str">
        <f>VLOOKUP(B145,'[1]oasis_cross-sectional'!A$1:K$236,2,FALSE)</f>
        <v>F</v>
      </c>
    </row>
    <row r="146" spans="1:6">
      <c r="A146" t="s">
        <v>145</v>
      </c>
      <c r="B146" t="s">
        <v>456</v>
      </c>
      <c r="C146">
        <f>VLOOKUP(B146,'[1]oasis_cross-sectional'!A$1:K$236,4,FALSE)</f>
        <v>83</v>
      </c>
      <c r="D146">
        <f>VLOOKUP(B146,'[1]oasis_cross-sectional'!A$1:K$236,7,FALSE)</f>
        <v>20</v>
      </c>
      <c r="E146" t="s">
        <v>620</v>
      </c>
      <c r="F146" t="str">
        <f>VLOOKUP(B146,'[1]oasis_cross-sectional'!A$1:K$236,2,FALSE)</f>
        <v>F</v>
      </c>
    </row>
    <row r="147" spans="1:6">
      <c r="A147" t="s">
        <v>146</v>
      </c>
      <c r="B147" t="s">
        <v>457</v>
      </c>
      <c r="C147">
        <f>VLOOKUP(B147,'[1]oasis_cross-sectional'!A$1:K$236,4,FALSE)</f>
        <v>78</v>
      </c>
      <c r="D147">
        <f>VLOOKUP(B147,'[1]oasis_cross-sectional'!A$1:K$236,7,FALSE)</f>
        <v>21</v>
      </c>
      <c r="E147" t="s">
        <v>620</v>
      </c>
      <c r="F147" t="str">
        <f>VLOOKUP(B147,'[1]oasis_cross-sectional'!A$1:K$236,2,FALSE)</f>
        <v>F</v>
      </c>
    </row>
    <row r="148" spans="1:6">
      <c r="A148" t="s">
        <v>147</v>
      </c>
      <c r="B148" t="s">
        <v>458</v>
      </c>
      <c r="C148">
        <f>VLOOKUP(B148,'[1]oasis_cross-sectional'!A$1:K$236,4,FALSE)</f>
        <v>71</v>
      </c>
      <c r="D148">
        <f>VLOOKUP(B148,'[1]oasis_cross-sectional'!A$1:K$236,7,FALSE)</f>
        <v>20</v>
      </c>
      <c r="E148" t="s">
        <v>620</v>
      </c>
      <c r="F148" t="str">
        <f>VLOOKUP(B148,'[1]oasis_cross-sectional'!A$1:K$236,2,FALSE)</f>
        <v>M</v>
      </c>
    </row>
    <row r="149" spans="1:6">
      <c r="A149" t="s">
        <v>148</v>
      </c>
      <c r="B149" t="s">
        <v>459</v>
      </c>
      <c r="C149">
        <f>VLOOKUP(B149,'[1]oasis_cross-sectional'!A$1:K$236,4,FALSE)</f>
        <v>59</v>
      </c>
      <c r="D149">
        <f>VLOOKUP(B149,'[1]oasis_cross-sectional'!A$1:K$236,7,FALSE)</f>
        <v>28</v>
      </c>
      <c r="E149" t="s">
        <v>620</v>
      </c>
      <c r="F149" t="str">
        <f>VLOOKUP(B149,'[1]oasis_cross-sectional'!A$1:K$236,2,FALSE)</f>
        <v>F</v>
      </c>
    </row>
    <row r="150" spans="1:6">
      <c r="A150" t="s">
        <v>149</v>
      </c>
      <c r="B150" t="s">
        <v>460</v>
      </c>
      <c r="C150">
        <f>VLOOKUP(B150,'[1]oasis_cross-sectional'!A$1:K$236,4,FALSE)</f>
        <v>83</v>
      </c>
      <c r="D150">
        <f>VLOOKUP(B150,'[1]oasis_cross-sectional'!A$1:K$236,7,FALSE)</f>
        <v>26</v>
      </c>
      <c r="E150" t="s">
        <v>620</v>
      </c>
      <c r="F150" t="str">
        <f>VLOOKUP(B150,'[1]oasis_cross-sectional'!A$1:K$236,2,FALSE)</f>
        <v>M</v>
      </c>
    </row>
    <row r="151" spans="1:6">
      <c r="A151" t="s">
        <v>150</v>
      </c>
      <c r="B151" t="s">
        <v>461</v>
      </c>
      <c r="C151">
        <f>VLOOKUP(B151,'[1]oasis_cross-sectional'!A$1:K$236,4,FALSE)</f>
        <v>73</v>
      </c>
      <c r="D151">
        <f>VLOOKUP(B151,'[1]oasis_cross-sectional'!A$1:K$236,7,FALSE)</f>
        <v>19</v>
      </c>
      <c r="E151" t="s">
        <v>620</v>
      </c>
      <c r="F151" t="str">
        <f>VLOOKUP(B151,'[1]oasis_cross-sectional'!A$1:K$236,2,FALSE)</f>
        <v>F</v>
      </c>
    </row>
    <row r="152" spans="1:6">
      <c r="A152" t="s">
        <v>151</v>
      </c>
      <c r="B152" t="s">
        <v>462</v>
      </c>
      <c r="C152">
        <f>VLOOKUP(B152,'[1]oasis_cross-sectional'!A$1:K$236,4,FALSE)</f>
        <v>64</v>
      </c>
      <c r="D152">
        <f>VLOOKUP(B152,'[1]oasis_cross-sectional'!A$1:K$236,7,FALSE)</f>
        <v>30</v>
      </c>
      <c r="E152" t="s">
        <v>620</v>
      </c>
      <c r="F152" t="str">
        <f>VLOOKUP(B152,'[1]oasis_cross-sectional'!A$1:K$236,2,FALSE)</f>
        <v>F</v>
      </c>
    </row>
    <row r="153" spans="1:6">
      <c r="A153" t="s">
        <v>152</v>
      </c>
      <c r="B153" t="s">
        <v>463</v>
      </c>
      <c r="C153">
        <f>VLOOKUP(B153,'[1]oasis_cross-sectional'!A$1:K$236,4,FALSE)</f>
        <v>69</v>
      </c>
      <c r="D153">
        <f>VLOOKUP(B153,'[1]oasis_cross-sectional'!A$1:K$236,7,FALSE)</f>
        <v>26</v>
      </c>
      <c r="E153" t="s">
        <v>620</v>
      </c>
      <c r="F153" t="str">
        <f>VLOOKUP(B153,'[1]oasis_cross-sectional'!A$1:K$236,2,FALSE)</f>
        <v>F</v>
      </c>
    </row>
    <row r="154" spans="1:6">
      <c r="A154" t="s">
        <v>153</v>
      </c>
      <c r="B154" t="s">
        <v>464</v>
      </c>
      <c r="C154">
        <f>VLOOKUP(B154,'[1]oasis_cross-sectional'!A$1:K$236,4,FALSE)</f>
        <v>72</v>
      </c>
      <c r="D154">
        <f>VLOOKUP(B154,'[1]oasis_cross-sectional'!A$1:K$236,7,FALSE)</f>
        <v>24</v>
      </c>
      <c r="E154" t="s">
        <v>620</v>
      </c>
      <c r="F154" t="str">
        <f>VLOOKUP(B154,'[1]oasis_cross-sectional'!A$1:K$236,2,FALSE)</f>
        <v>F</v>
      </c>
    </row>
    <row r="155" spans="1:6">
      <c r="A155" t="s">
        <v>154</v>
      </c>
      <c r="B155" t="s">
        <v>465</v>
      </c>
      <c r="C155">
        <f>VLOOKUP(B155,'[1]oasis_cross-sectional'!A$1:K$236,4,FALSE)</f>
        <v>90</v>
      </c>
      <c r="D155">
        <f>VLOOKUP(B155,'[1]oasis_cross-sectional'!A$1:K$236,7,FALSE)</f>
        <v>29</v>
      </c>
      <c r="E155" t="s">
        <v>620</v>
      </c>
      <c r="F155" t="str">
        <f>VLOOKUP(B155,'[1]oasis_cross-sectional'!A$1:K$236,2,FALSE)</f>
        <v>F</v>
      </c>
    </row>
    <row r="156" spans="1:6">
      <c r="A156" t="s">
        <v>155</v>
      </c>
      <c r="B156" t="s">
        <v>466</v>
      </c>
      <c r="C156">
        <f>VLOOKUP(B156,'[1]oasis_cross-sectional'!A$1:K$236,4,FALSE)</f>
        <v>68</v>
      </c>
      <c r="D156">
        <f>VLOOKUP(B156,'[1]oasis_cross-sectional'!A$1:K$236,7,FALSE)</f>
        <v>30</v>
      </c>
      <c r="E156" t="s">
        <v>620</v>
      </c>
      <c r="F156" t="str">
        <f>VLOOKUP(B156,'[1]oasis_cross-sectional'!A$1:K$236,2,FALSE)</f>
        <v>M</v>
      </c>
    </row>
    <row r="157" spans="1:6">
      <c r="A157" t="s">
        <v>156</v>
      </c>
      <c r="B157" t="s">
        <v>467</v>
      </c>
      <c r="C157">
        <f>VLOOKUP(B157,'[1]oasis_cross-sectional'!A$1:K$236,4,FALSE)</f>
        <v>90</v>
      </c>
      <c r="D157">
        <f>VLOOKUP(B157,'[1]oasis_cross-sectional'!A$1:K$236,7,FALSE)</f>
        <v>28</v>
      </c>
      <c r="E157" t="s">
        <v>620</v>
      </c>
      <c r="F157" t="str">
        <f>VLOOKUP(B157,'[1]oasis_cross-sectional'!A$1:K$236,2,FALSE)</f>
        <v>F</v>
      </c>
    </row>
    <row r="158" spans="1:6">
      <c r="A158" t="s">
        <v>157</v>
      </c>
      <c r="B158" t="s">
        <v>468</v>
      </c>
      <c r="C158">
        <f>VLOOKUP(B158,'[1]oasis_cross-sectional'!A$1:K$236,4,FALSE)</f>
        <v>67</v>
      </c>
      <c r="D158">
        <f>VLOOKUP(B158,'[1]oasis_cross-sectional'!A$1:K$236,7,FALSE)</f>
        <v>30</v>
      </c>
      <c r="E158" t="s">
        <v>620</v>
      </c>
      <c r="F158" t="str">
        <f>VLOOKUP(B158,'[1]oasis_cross-sectional'!A$1:K$236,2,FALSE)</f>
        <v>F</v>
      </c>
    </row>
    <row r="159" spans="1:6">
      <c r="A159" t="s">
        <v>158</v>
      </c>
      <c r="B159" t="s">
        <v>469</v>
      </c>
      <c r="C159">
        <f>VLOOKUP(B159,'[1]oasis_cross-sectional'!A$1:K$236,4,FALSE)</f>
        <v>84</v>
      </c>
      <c r="D159">
        <f>VLOOKUP(B159,'[1]oasis_cross-sectional'!A$1:K$236,7,FALSE)</f>
        <v>29</v>
      </c>
      <c r="E159" t="s">
        <v>620</v>
      </c>
      <c r="F159" t="str">
        <f>VLOOKUP(B159,'[1]oasis_cross-sectional'!A$1:K$236,2,FALSE)</f>
        <v>M</v>
      </c>
    </row>
    <row r="160" spans="1:6">
      <c r="A160" t="s">
        <v>159</v>
      </c>
      <c r="B160" t="s">
        <v>470</v>
      </c>
      <c r="C160">
        <f>VLOOKUP(B160,'[1]oasis_cross-sectional'!A$1:K$236,4,FALSE)</f>
        <v>67</v>
      </c>
      <c r="D160">
        <f>VLOOKUP(B160,'[1]oasis_cross-sectional'!A$1:K$236,7,FALSE)</f>
        <v>23</v>
      </c>
      <c r="E160" t="s">
        <v>620</v>
      </c>
      <c r="F160" t="str">
        <f>VLOOKUP(B160,'[1]oasis_cross-sectional'!A$1:K$236,2,FALSE)</f>
        <v>M</v>
      </c>
    </row>
    <row r="161" spans="1:6">
      <c r="A161" t="s">
        <v>160</v>
      </c>
      <c r="B161" t="s">
        <v>471</v>
      </c>
      <c r="C161">
        <f>VLOOKUP(B161,'[1]oasis_cross-sectional'!A$1:K$236,4,FALSE)</f>
        <v>78</v>
      </c>
      <c r="D161">
        <f>VLOOKUP(B161,'[1]oasis_cross-sectional'!A$1:K$236,7,FALSE)</f>
        <v>15</v>
      </c>
      <c r="E161" t="s">
        <v>620</v>
      </c>
      <c r="F161" t="str">
        <f>VLOOKUP(B161,'[1]oasis_cross-sectional'!A$1:K$236,2,FALSE)</f>
        <v>F</v>
      </c>
    </row>
    <row r="162" spans="1:6">
      <c r="A162" t="s">
        <v>161</v>
      </c>
      <c r="B162" t="s">
        <v>472</v>
      </c>
      <c r="C162">
        <f>VLOOKUP(B162,'[1]oasis_cross-sectional'!A$1:K$236,4,FALSE)</f>
        <v>54</v>
      </c>
      <c r="D162">
        <f>VLOOKUP(B162,'[1]oasis_cross-sectional'!A$1:K$236,7,FALSE)</f>
        <v>30</v>
      </c>
      <c r="E162" t="s">
        <v>620</v>
      </c>
      <c r="F162" t="str">
        <f>VLOOKUP(B162,'[1]oasis_cross-sectional'!A$1:K$236,2,FALSE)</f>
        <v>F</v>
      </c>
    </row>
    <row r="163" spans="1:6">
      <c r="A163" t="s">
        <v>162</v>
      </c>
      <c r="B163" t="s">
        <v>473</v>
      </c>
      <c r="C163">
        <f>VLOOKUP(B163,'[1]oasis_cross-sectional'!A$1:K$236,4,FALSE)</f>
        <v>73</v>
      </c>
      <c r="D163">
        <f>VLOOKUP(B163,'[1]oasis_cross-sectional'!A$1:K$236,7,FALSE)</f>
        <v>26</v>
      </c>
      <c r="E163" t="s">
        <v>620</v>
      </c>
      <c r="F163" t="str">
        <f>VLOOKUP(B163,'[1]oasis_cross-sectional'!A$1:K$236,2,FALSE)</f>
        <v>F</v>
      </c>
    </row>
    <row r="164" spans="1:6">
      <c r="A164" t="s">
        <v>163</v>
      </c>
      <c r="B164" t="s">
        <v>474</v>
      </c>
      <c r="C164">
        <f>VLOOKUP(B164,'[1]oasis_cross-sectional'!A$1:K$236,4,FALSE)</f>
        <v>77</v>
      </c>
      <c r="D164">
        <f>VLOOKUP(B164,'[1]oasis_cross-sectional'!A$1:K$236,7,FALSE)</f>
        <v>25</v>
      </c>
      <c r="E164" t="s">
        <v>620</v>
      </c>
      <c r="F164" t="str">
        <f>VLOOKUP(B164,'[1]oasis_cross-sectional'!A$1:K$236,2,FALSE)</f>
        <v>M</v>
      </c>
    </row>
    <row r="165" spans="1:6">
      <c r="A165" t="s">
        <v>164</v>
      </c>
      <c r="B165" t="s">
        <v>475</v>
      </c>
      <c r="C165">
        <f>VLOOKUP(B165,'[1]oasis_cross-sectional'!A$1:K$236,4,FALSE)</f>
        <v>72</v>
      </c>
      <c r="D165">
        <f>VLOOKUP(B165,'[1]oasis_cross-sectional'!A$1:K$236,7,FALSE)</f>
        <v>22</v>
      </c>
      <c r="E165" t="s">
        <v>620</v>
      </c>
      <c r="F165" t="str">
        <f>VLOOKUP(B165,'[1]oasis_cross-sectional'!A$1:K$236,2,FALSE)</f>
        <v>F</v>
      </c>
    </row>
    <row r="166" spans="1:6">
      <c r="A166" t="s">
        <v>165</v>
      </c>
      <c r="B166" t="s">
        <v>476</v>
      </c>
      <c r="C166">
        <f>VLOOKUP(B166,'[1]oasis_cross-sectional'!A$1:K$236,4,FALSE)</f>
        <v>86</v>
      </c>
      <c r="D166">
        <f>VLOOKUP(B166,'[1]oasis_cross-sectional'!A$1:K$236,7,FALSE)</f>
        <v>26</v>
      </c>
      <c r="E166" t="s">
        <v>620</v>
      </c>
      <c r="F166" t="str">
        <f>VLOOKUP(B166,'[1]oasis_cross-sectional'!A$1:K$236,2,FALSE)</f>
        <v>M</v>
      </c>
    </row>
    <row r="167" spans="1:6">
      <c r="A167" t="s">
        <v>166</v>
      </c>
      <c r="B167" t="s">
        <v>477</v>
      </c>
      <c r="C167">
        <f>VLOOKUP(B167,'[1]oasis_cross-sectional'!A$1:K$236,4,FALSE)</f>
        <v>65</v>
      </c>
      <c r="D167">
        <f>VLOOKUP(B167,'[1]oasis_cross-sectional'!A$1:K$236,7,FALSE)</f>
        <v>29</v>
      </c>
      <c r="E167" t="s">
        <v>620</v>
      </c>
      <c r="F167" t="str">
        <f>VLOOKUP(B167,'[1]oasis_cross-sectional'!A$1:K$236,2,FALSE)</f>
        <v>F</v>
      </c>
    </row>
    <row r="168" spans="1:6">
      <c r="A168" t="s">
        <v>167</v>
      </c>
      <c r="B168" t="s">
        <v>478</v>
      </c>
      <c r="C168">
        <f>VLOOKUP(B168,'[1]oasis_cross-sectional'!A$1:K$236,4,FALSE)</f>
        <v>50</v>
      </c>
      <c r="D168">
        <f>VLOOKUP(B168,'[1]oasis_cross-sectional'!A$1:K$236,7,FALSE)</f>
        <v>30</v>
      </c>
      <c r="E168" t="s">
        <v>620</v>
      </c>
      <c r="F168" t="str">
        <f>VLOOKUP(B168,'[1]oasis_cross-sectional'!A$1:K$236,2,FALSE)</f>
        <v>F</v>
      </c>
    </row>
    <row r="169" spans="1:6">
      <c r="A169" t="s">
        <v>168</v>
      </c>
      <c r="B169" t="s">
        <v>479</v>
      </c>
      <c r="C169">
        <f>VLOOKUP(B169,'[1]oasis_cross-sectional'!A$1:K$236,4,FALSE)</f>
        <v>73</v>
      </c>
      <c r="D169">
        <f>VLOOKUP(B169,'[1]oasis_cross-sectional'!A$1:K$236,7,FALSE)</f>
        <v>29</v>
      </c>
      <c r="E169" t="s">
        <v>620</v>
      </c>
      <c r="F169" t="str">
        <f>VLOOKUP(B169,'[1]oasis_cross-sectional'!A$1:K$236,2,FALSE)</f>
        <v>F</v>
      </c>
    </row>
    <row r="170" spans="1:6">
      <c r="A170" t="s">
        <v>169</v>
      </c>
      <c r="B170" t="s">
        <v>480</v>
      </c>
      <c r="C170">
        <f>VLOOKUP(B170,'[1]oasis_cross-sectional'!A$1:K$236,4,FALSE)</f>
        <v>80</v>
      </c>
      <c r="D170">
        <f>VLOOKUP(B170,'[1]oasis_cross-sectional'!A$1:K$236,7,FALSE)</f>
        <v>29</v>
      </c>
      <c r="E170" t="s">
        <v>620</v>
      </c>
      <c r="F170" t="str">
        <f>VLOOKUP(B170,'[1]oasis_cross-sectional'!A$1:K$236,2,FALSE)</f>
        <v>F</v>
      </c>
    </row>
    <row r="171" spans="1:6">
      <c r="A171" t="s">
        <v>170</v>
      </c>
      <c r="B171" t="s">
        <v>481</v>
      </c>
      <c r="C171">
        <f>VLOOKUP(B171,'[1]oasis_cross-sectional'!A$1:K$236,4,FALSE)</f>
        <v>80</v>
      </c>
      <c r="D171">
        <f>VLOOKUP(B171,'[1]oasis_cross-sectional'!A$1:K$236,7,FALSE)</f>
        <v>27</v>
      </c>
      <c r="E171" t="s">
        <v>620</v>
      </c>
      <c r="F171" t="str">
        <f>VLOOKUP(B171,'[1]oasis_cross-sectional'!A$1:K$236,2,FALSE)</f>
        <v>F</v>
      </c>
    </row>
    <row r="172" spans="1:6">
      <c r="A172" t="s">
        <v>171</v>
      </c>
      <c r="B172" t="s">
        <v>482</v>
      </c>
      <c r="C172">
        <f>VLOOKUP(B172,'[1]oasis_cross-sectional'!A$1:K$236,4,FALSE)</f>
        <v>72</v>
      </c>
      <c r="D172">
        <f>VLOOKUP(B172,'[1]oasis_cross-sectional'!A$1:K$236,7,FALSE)</f>
        <v>29</v>
      </c>
      <c r="E172" t="s">
        <v>620</v>
      </c>
      <c r="F172" t="str">
        <f>VLOOKUP(B172,'[1]oasis_cross-sectional'!A$1:K$236,2,FALSE)</f>
        <v>M</v>
      </c>
    </row>
    <row r="173" spans="1:6">
      <c r="A173" t="s">
        <v>172</v>
      </c>
      <c r="B173" t="s">
        <v>483</v>
      </c>
      <c r="C173">
        <f>VLOOKUP(B173,'[1]oasis_cross-sectional'!A$1:K$236,4,FALSE)</f>
        <v>80</v>
      </c>
      <c r="D173">
        <f>VLOOKUP(B173,'[1]oasis_cross-sectional'!A$1:K$236,7,FALSE)</f>
        <v>27</v>
      </c>
      <c r="E173" t="s">
        <v>620</v>
      </c>
      <c r="F173" t="str">
        <f>VLOOKUP(B173,'[1]oasis_cross-sectional'!A$1:K$236,2,FALSE)</f>
        <v>F</v>
      </c>
    </row>
    <row r="174" spans="1:6">
      <c r="A174" t="s">
        <v>173</v>
      </c>
      <c r="B174" t="s">
        <v>484</v>
      </c>
      <c r="C174">
        <f>VLOOKUP(B174,'[1]oasis_cross-sectional'!A$1:K$236,4,FALSE)</f>
        <v>81</v>
      </c>
      <c r="D174">
        <f>VLOOKUP(B174,'[1]oasis_cross-sectional'!A$1:K$236,7,FALSE)</f>
        <v>28</v>
      </c>
      <c r="E174" t="s">
        <v>620</v>
      </c>
      <c r="F174" t="str">
        <f>VLOOKUP(B174,'[1]oasis_cross-sectional'!A$1:K$236,2,FALSE)</f>
        <v>M</v>
      </c>
    </row>
    <row r="175" spans="1:6">
      <c r="A175" t="s">
        <v>174</v>
      </c>
      <c r="B175" t="s">
        <v>485</v>
      </c>
      <c r="C175">
        <f>VLOOKUP(B175,'[1]oasis_cross-sectional'!A$1:K$236,4,FALSE)</f>
        <v>77</v>
      </c>
      <c r="D175">
        <f>VLOOKUP(B175,'[1]oasis_cross-sectional'!A$1:K$236,7,FALSE)</f>
        <v>29</v>
      </c>
      <c r="E175" t="s">
        <v>620</v>
      </c>
      <c r="F175" t="str">
        <f>VLOOKUP(B175,'[1]oasis_cross-sectional'!A$1:K$236,2,FALSE)</f>
        <v>M</v>
      </c>
    </row>
    <row r="176" spans="1:6">
      <c r="A176" t="s">
        <v>175</v>
      </c>
      <c r="B176" t="s">
        <v>486</v>
      </c>
      <c r="C176">
        <f>VLOOKUP(B176,'[1]oasis_cross-sectional'!A$1:K$236,4,FALSE)</f>
        <v>79</v>
      </c>
      <c r="D176">
        <f>VLOOKUP(B176,'[1]oasis_cross-sectional'!A$1:K$236,7,FALSE)</f>
        <v>24</v>
      </c>
      <c r="E176" t="s">
        <v>620</v>
      </c>
      <c r="F176" t="str">
        <f>VLOOKUP(B176,'[1]oasis_cross-sectional'!A$1:K$236,2,FALSE)</f>
        <v>F</v>
      </c>
    </row>
    <row r="177" spans="1:6">
      <c r="A177" t="s">
        <v>176</v>
      </c>
      <c r="B177" t="s">
        <v>487</v>
      </c>
      <c r="C177">
        <f>VLOOKUP(B177,'[1]oasis_cross-sectional'!A$1:K$236,4,FALSE)</f>
        <v>71</v>
      </c>
      <c r="D177">
        <f>VLOOKUP(B177,'[1]oasis_cross-sectional'!A$1:K$236,7,FALSE)</f>
        <v>30</v>
      </c>
      <c r="E177" t="s">
        <v>620</v>
      </c>
      <c r="F177" t="str">
        <f>VLOOKUP(B177,'[1]oasis_cross-sectional'!A$1:K$236,2,FALSE)</f>
        <v>F</v>
      </c>
    </row>
    <row r="178" spans="1:6">
      <c r="A178" t="s">
        <v>177</v>
      </c>
      <c r="B178" t="s">
        <v>488</v>
      </c>
      <c r="C178">
        <f>VLOOKUP(B178,'[1]oasis_cross-sectional'!A$1:K$236,4,FALSE)</f>
        <v>88</v>
      </c>
      <c r="D178">
        <f>VLOOKUP(B178,'[1]oasis_cross-sectional'!A$1:K$236,7,FALSE)</f>
        <v>28</v>
      </c>
      <c r="E178" t="s">
        <v>620</v>
      </c>
      <c r="F178" t="str">
        <f>VLOOKUP(B178,'[1]oasis_cross-sectional'!A$1:K$236,2,FALSE)</f>
        <v>F</v>
      </c>
    </row>
    <row r="179" spans="1:6">
      <c r="A179" t="s">
        <v>178</v>
      </c>
      <c r="B179" t="s">
        <v>489</v>
      </c>
      <c r="C179">
        <f>VLOOKUP(B179,'[1]oasis_cross-sectional'!A$1:K$236,4,FALSE)</f>
        <v>68</v>
      </c>
      <c r="D179">
        <f>VLOOKUP(B179,'[1]oasis_cross-sectional'!A$1:K$236,7,FALSE)</f>
        <v>30</v>
      </c>
      <c r="E179" t="s">
        <v>620</v>
      </c>
      <c r="F179" t="str">
        <f>VLOOKUP(B179,'[1]oasis_cross-sectional'!A$1:K$236,2,FALSE)</f>
        <v>M</v>
      </c>
    </row>
    <row r="180" spans="1:6">
      <c r="A180" t="s">
        <v>179</v>
      </c>
      <c r="B180" t="s">
        <v>490</v>
      </c>
      <c r="C180">
        <f>VLOOKUP(B180,'[1]oasis_cross-sectional'!A$1:K$236,4,FALSE)</f>
        <v>54</v>
      </c>
      <c r="D180">
        <f>VLOOKUP(B180,'[1]oasis_cross-sectional'!A$1:K$236,7,FALSE)</f>
        <v>30</v>
      </c>
      <c r="E180" t="s">
        <v>620</v>
      </c>
      <c r="F180" t="str">
        <f>VLOOKUP(B180,'[1]oasis_cross-sectional'!A$1:K$236,2,FALSE)</f>
        <v>F</v>
      </c>
    </row>
    <row r="181" spans="1:6">
      <c r="A181" t="s">
        <v>180</v>
      </c>
      <c r="B181" t="s">
        <v>491</v>
      </c>
      <c r="C181">
        <f>VLOOKUP(B181,'[1]oasis_cross-sectional'!A$1:K$236,4,FALSE)</f>
        <v>86</v>
      </c>
      <c r="D181">
        <f>VLOOKUP(B181,'[1]oasis_cross-sectional'!A$1:K$236,7,FALSE)</f>
        <v>15</v>
      </c>
      <c r="E181" t="s">
        <v>620</v>
      </c>
      <c r="F181" t="str">
        <f>VLOOKUP(B181,'[1]oasis_cross-sectional'!A$1:K$236,2,FALSE)</f>
        <v>M</v>
      </c>
    </row>
    <row r="182" spans="1:6">
      <c r="A182" t="s">
        <v>181</v>
      </c>
      <c r="B182" t="s">
        <v>492</v>
      </c>
      <c r="C182">
        <f>VLOOKUP(B182,'[1]oasis_cross-sectional'!A$1:K$236,4,FALSE)</f>
        <v>81</v>
      </c>
      <c r="D182">
        <f>VLOOKUP(B182,'[1]oasis_cross-sectional'!A$1:K$236,7,FALSE)</f>
        <v>26</v>
      </c>
      <c r="E182" t="s">
        <v>620</v>
      </c>
      <c r="F182" t="str">
        <f>VLOOKUP(B182,'[1]oasis_cross-sectional'!A$1:K$236,2,FALSE)</f>
        <v>F</v>
      </c>
    </row>
    <row r="183" spans="1:6">
      <c r="A183" t="s">
        <v>182</v>
      </c>
      <c r="B183" t="s">
        <v>493</v>
      </c>
      <c r="C183">
        <f>VLOOKUP(B183,'[1]oasis_cross-sectional'!A$1:K$236,4,FALSE)</f>
        <v>74</v>
      </c>
      <c r="D183">
        <f>VLOOKUP(B183,'[1]oasis_cross-sectional'!A$1:K$236,7,FALSE)</f>
        <v>26</v>
      </c>
      <c r="E183" t="s">
        <v>620</v>
      </c>
      <c r="F183" t="str">
        <f>VLOOKUP(B183,'[1]oasis_cross-sectional'!A$1:K$236,2,FALSE)</f>
        <v>M</v>
      </c>
    </row>
    <row r="184" spans="1:6">
      <c r="A184" t="s">
        <v>183</v>
      </c>
      <c r="B184" t="s">
        <v>494</v>
      </c>
      <c r="C184">
        <f>VLOOKUP(B184,'[1]oasis_cross-sectional'!A$1:K$236,4,FALSE)</f>
        <v>73</v>
      </c>
      <c r="D184">
        <f>VLOOKUP(B184,'[1]oasis_cross-sectional'!A$1:K$236,7,FALSE)</f>
        <v>29</v>
      </c>
      <c r="E184" t="s">
        <v>620</v>
      </c>
      <c r="F184" t="str">
        <f>VLOOKUP(B184,'[1]oasis_cross-sectional'!A$1:K$236,2,FALSE)</f>
        <v>F</v>
      </c>
    </row>
    <row r="185" spans="1:6">
      <c r="A185" t="s">
        <v>184</v>
      </c>
      <c r="B185" t="s">
        <v>495</v>
      </c>
      <c r="C185">
        <f>VLOOKUP(B185,'[1]oasis_cross-sectional'!A$1:K$236,4,FALSE)</f>
        <v>68</v>
      </c>
      <c r="D185">
        <f>VLOOKUP(B185,'[1]oasis_cross-sectional'!A$1:K$236,7,FALSE)</f>
        <v>30</v>
      </c>
      <c r="E185" t="s">
        <v>620</v>
      </c>
      <c r="F185" t="str">
        <f>VLOOKUP(B185,'[1]oasis_cross-sectional'!A$1:K$236,2,FALSE)</f>
        <v>F</v>
      </c>
    </row>
    <row r="186" spans="1:6">
      <c r="A186" t="s">
        <v>185</v>
      </c>
      <c r="B186" t="s">
        <v>496</v>
      </c>
      <c r="C186">
        <f>VLOOKUP(B186,'[1]oasis_cross-sectional'!A$1:K$236,4,FALSE)</f>
        <v>55</v>
      </c>
      <c r="D186">
        <f>VLOOKUP(B186,'[1]oasis_cross-sectional'!A$1:K$236,7,FALSE)</f>
        <v>30</v>
      </c>
      <c r="E186" t="s">
        <v>620</v>
      </c>
      <c r="F186" t="str">
        <f>VLOOKUP(B186,'[1]oasis_cross-sectional'!A$1:K$236,2,FALSE)</f>
        <v>F</v>
      </c>
    </row>
    <row r="187" spans="1:6">
      <c r="A187" t="s">
        <v>186</v>
      </c>
      <c r="B187" t="s">
        <v>497</v>
      </c>
      <c r="C187">
        <f>VLOOKUP(B187,'[1]oasis_cross-sectional'!A$1:K$236,4,FALSE)</f>
        <v>65</v>
      </c>
      <c r="D187">
        <f>VLOOKUP(B187,'[1]oasis_cross-sectional'!A$1:K$236,7,FALSE)</f>
        <v>29</v>
      </c>
      <c r="E187" t="s">
        <v>620</v>
      </c>
      <c r="F187" t="str">
        <f>VLOOKUP(B187,'[1]oasis_cross-sectional'!A$1:K$236,2,FALSE)</f>
        <v>M</v>
      </c>
    </row>
    <row r="188" spans="1:6">
      <c r="A188" t="s">
        <v>187</v>
      </c>
      <c r="B188" t="s">
        <v>498</v>
      </c>
      <c r="C188">
        <f>VLOOKUP(B188,'[1]oasis_cross-sectional'!A$1:K$236,4,FALSE)</f>
        <v>63</v>
      </c>
      <c r="D188">
        <f>VLOOKUP(B188,'[1]oasis_cross-sectional'!A$1:K$236,7,FALSE)</f>
        <v>14</v>
      </c>
      <c r="E188" t="s">
        <v>620</v>
      </c>
      <c r="F188" t="str">
        <f>VLOOKUP(B188,'[1]oasis_cross-sectional'!A$1:K$236,2,FALSE)</f>
        <v>F</v>
      </c>
    </row>
    <row r="189" spans="1:6">
      <c r="A189" t="s">
        <v>188</v>
      </c>
      <c r="B189" t="s">
        <v>499</v>
      </c>
      <c r="C189">
        <f>VLOOKUP(B189,'[1]oasis_cross-sectional'!A$1:K$236,4,FALSE)</f>
        <v>87</v>
      </c>
      <c r="D189">
        <f>VLOOKUP(B189,'[1]oasis_cross-sectional'!A$1:K$236,7,FALSE)</f>
        <v>30</v>
      </c>
      <c r="E189" t="s">
        <v>620</v>
      </c>
      <c r="F189" t="str">
        <f>VLOOKUP(B189,'[1]oasis_cross-sectional'!A$1:K$236,2,FALSE)</f>
        <v>M</v>
      </c>
    </row>
    <row r="190" spans="1:6">
      <c r="A190" t="s">
        <v>189</v>
      </c>
      <c r="B190" t="s">
        <v>500</v>
      </c>
      <c r="C190">
        <f>VLOOKUP(B190,'[1]oasis_cross-sectional'!A$1:K$236,4,FALSE)</f>
        <v>74</v>
      </c>
      <c r="D190">
        <f>VLOOKUP(B190,'[1]oasis_cross-sectional'!A$1:K$236,7,FALSE)</f>
        <v>30</v>
      </c>
      <c r="E190" t="s">
        <v>620</v>
      </c>
      <c r="F190" t="str">
        <f>VLOOKUP(B190,'[1]oasis_cross-sectional'!A$1:K$236,2,FALSE)</f>
        <v>M</v>
      </c>
    </row>
    <row r="191" spans="1:6">
      <c r="A191" t="s">
        <v>190</v>
      </c>
      <c r="B191" t="s">
        <v>501</v>
      </c>
      <c r="C191">
        <f>VLOOKUP(B191,'[1]oasis_cross-sectional'!A$1:K$236,4,FALSE)</f>
        <v>45</v>
      </c>
      <c r="D191">
        <f>VLOOKUP(B191,'[1]oasis_cross-sectional'!A$1:K$236,7,FALSE)</f>
        <v>29</v>
      </c>
      <c r="E191" t="s">
        <v>620</v>
      </c>
      <c r="F191" t="str">
        <f>VLOOKUP(B191,'[1]oasis_cross-sectional'!A$1:K$236,2,FALSE)</f>
        <v>F</v>
      </c>
    </row>
    <row r="192" spans="1:6">
      <c r="A192" t="s">
        <v>191</v>
      </c>
      <c r="B192" t="s">
        <v>502</v>
      </c>
      <c r="C192">
        <f>VLOOKUP(B192,'[1]oasis_cross-sectional'!A$1:K$236,4,FALSE)</f>
        <v>46</v>
      </c>
      <c r="D192">
        <f>VLOOKUP(B192,'[1]oasis_cross-sectional'!A$1:K$236,7,FALSE)</f>
        <v>28</v>
      </c>
      <c r="E192" t="s">
        <v>620</v>
      </c>
      <c r="F192" t="str">
        <f>VLOOKUP(B192,'[1]oasis_cross-sectional'!A$1:K$236,2,FALSE)</f>
        <v>F</v>
      </c>
    </row>
    <row r="193" spans="1:6">
      <c r="A193" t="s">
        <v>192</v>
      </c>
      <c r="B193" t="s">
        <v>503</v>
      </c>
      <c r="C193">
        <f>VLOOKUP(B193,'[1]oasis_cross-sectional'!A$1:K$236,4,FALSE)</f>
        <v>73</v>
      </c>
      <c r="D193">
        <f>VLOOKUP(B193,'[1]oasis_cross-sectional'!A$1:K$236,7,FALSE)</f>
        <v>28</v>
      </c>
      <c r="E193" t="s">
        <v>620</v>
      </c>
      <c r="F193" t="str">
        <f>VLOOKUP(B193,'[1]oasis_cross-sectional'!A$1:K$236,2,FALSE)</f>
        <v>F</v>
      </c>
    </row>
    <row r="194" spans="1:6">
      <c r="A194" t="s">
        <v>193</v>
      </c>
      <c r="B194" t="s">
        <v>504</v>
      </c>
      <c r="C194">
        <f>VLOOKUP(B194,'[1]oasis_cross-sectional'!A$1:K$236,4,FALSE)</f>
        <v>70</v>
      </c>
      <c r="D194">
        <f>VLOOKUP(B194,'[1]oasis_cross-sectional'!A$1:K$236,7,FALSE)</f>
        <v>30</v>
      </c>
      <c r="E194" t="s">
        <v>620</v>
      </c>
      <c r="F194" t="str">
        <f>VLOOKUP(B194,'[1]oasis_cross-sectional'!A$1:K$236,2,FALSE)</f>
        <v>F</v>
      </c>
    </row>
    <row r="195" spans="1:6">
      <c r="A195" t="s">
        <v>194</v>
      </c>
      <c r="B195" t="s">
        <v>505</v>
      </c>
      <c r="C195">
        <f>VLOOKUP(B195,'[1]oasis_cross-sectional'!A$1:K$236,4,FALSE)</f>
        <v>59</v>
      </c>
      <c r="D195">
        <f>VLOOKUP(B195,'[1]oasis_cross-sectional'!A$1:K$236,7,FALSE)</f>
        <v>29</v>
      </c>
      <c r="E195" t="s">
        <v>620</v>
      </c>
      <c r="F195" t="str">
        <f>VLOOKUP(B195,'[1]oasis_cross-sectional'!A$1:K$236,2,FALSE)</f>
        <v>M</v>
      </c>
    </row>
    <row r="196" spans="1:6">
      <c r="A196" t="s">
        <v>195</v>
      </c>
      <c r="B196" t="s">
        <v>506</v>
      </c>
      <c r="C196">
        <f>VLOOKUP(B196,'[1]oasis_cross-sectional'!A$1:K$236,4,FALSE)</f>
        <v>80</v>
      </c>
      <c r="D196">
        <f>VLOOKUP(B196,'[1]oasis_cross-sectional'!A$1:K$236,7,FALSE)</f>
        <v>20</v>
      </c>
      <c r="E196" t="s">
        <v>620</v>
      </c>
      <c r="F196" t="str">
        <f>VLOOKUP(B196,'[1]oasis_cross-sectional'!A$1:K$236,2,FALSE)</f>
        <v>F</v>
      </c>
    </row>
    <row r="197" spans="1:6">
      <c r="A197" t="s">
        <v>196</v>
      </c>
      <c r="B197" t="s">
        <v>507</v>
      </c>
      <c r="C197">
        <f>VLOOKUP(B197,'[1]oasis_cross-sectional'!A$1:K$236,4,FALSE)</f>
        <v>73</v>
      </c>
      <c r="D197">
        <f>VLOOKUP(B197,'[1]oasis_cross-sectional'!A$1:K$236,7,FALSE)</f>
        <v>29</v>
      </c>
      <c r="E197" t="s">
        <v>620</v>
      </c>
      <c r="F197" t="str">
        <f>VLOOKUP(B197,'[1]oasis_cross-sectional'!A$1:K$236,2,FALSE)</f>
        <v>F</v>
      </c>
    </row>
    <row r="198" spans="1:6">
      <c r="A198" t="s">
        <v>197</v>
      </c>
      <c r="B198" t="s">
        <v>508</v>
      </c>
      <c r="C198">
        <f>VLOOKUP(B198,'[1]oasis_cross-sectional'!A$1:K$236,4,FALSE)</f>
        <v>58</v>
      </c>
      <c r="D198">
        <f>VLOOKUP(B198,'[1]oasis_cross-sectional'!A$1:K$236,7,FALSE)</f>
        <v>30</v>
      </c>
      <c r="E198" t="s">
        <v>620</v>
      </c>
      <c r="F198" t="str">
        <f>VLOOKUP(B198,'[1]oasis_cross-sectional'!A$1:K$236,2,FALSE)</f>
        <v>F</v>
      </c>
    </row>
    <row r="199" spans="1:6">
      <c r="A199" t="s">
        <v>198</v>
      </c>
      <c r="B199" t="s">
        <v>509</v>
      </c>
      <c r="C199">
        <f>VLOOKUP(B199,'[1]oasis_cross-sectional'!A$1:K$236,4,FALSE)</f>
        <v>83</v>
      </c>
      <c r="D199">
        <f>VLOOKUP(B199,'[1]oasis_cross-sectional'!A$1:K$236,7,FALSE)</f>
        <v>18</v>
      </c>
      <c r="E199" t="s">
        <v>620</v>
      </c>
      <c r="F199" t="str">
        <f>VLOOKUP(B199,'[1]oasis_cross-sectional'!A$1:K$236,2,FALSE)</f>
        <v>F</v>
      </c>
    </row>
    <row r="200" spans="1:6">
      <c r="A200" t="s">
        <v>199</v>
      </c>
      <c r="B200" t="s">
        <v>510</v>
      </c>
      <c r="C200">
        <f>VLOOKUP(B200,'[1]oasis_cross-sectional'!A$1:K$236,4,FALSE)</f>
        <v>59</v>
      </c>
      <c r="D200">
        <f>VLOOKUP(B200,'[1]oasis_cross-sectional'!A$1:K$236,7,FALSE)</f>
        <v>29</v>
      </c>
      <c r="E200" t="s">
        <v>620</v>
      </c>
      <c r="F200" t="str">
        <f>VLOOKUP(B200,'[1]oasis_cross-sectional'!A$1:K$236,2,FALSE)</f>
        <v>M</v>
      </c>
    </row>
    <row r="201" spans="1:6">
      <c r="A201" t="s">
        <v>200</v>
      </c>
      <c r="B201" t="s">
        <v>511</v>
      </c>
      <c r="C201">
        <f>VLOOKUP(B201,'[1]oasis_cross-sectional'!A$1:K$236,4,FALSE)</f>
        <v>67</v>
      </c>
      <c r="D201">
        <f>VLOOKUP(B201,'[1]oasis_cross-sectional'!A$1:K$236,7,FALSE)</f>
        <v>15</v>
      </c>
      <c r="E201" t="s">
        <v>620</v>
      </c>
      <c r="F201" t="str">
        <f>VLOOKUP(B201,'[1]oasis_cross-sectional'!A$1:K$236,2,FALSE)</f>
        <v>F</v>
      </c>
    </row>
    <row r="202" spans="1:6">
      <c r="A202" t="s">
        <v>201</v>
      </c>
      <c r="B202" t="s">
        <v>512</v>
      </c>
      <c r="C202">
        <f>VLOOKUP(B202,'[1]oasis_cross-sectional'!A$1:K$236,4,FALSE)</f>
        <v>77</v>
      </c>
      <c r="D202">
        <f>VLOOKUP(B202,'[1]oasis_cross-sectional'!A$1:K$236,7,FALSE)</f>
        <v>22</v>
      </c>
      <c r="E202" t="s">
        <v>620</v>
      </c>
      <c r="F202" t="str">
        <f>VLOOKUP(B202,'[1]oasis_cross-sectional'!A$1:K$236,2,FALSE)</f>
        <v>F</v>
      </c>
    </row>
    <row r="203" spans="1:6">
      <c r="A203" t="s">
        <v>202</v>
      </c>
      <c r="B203" t="s">
        <v>513</v>
      </c>
      <c r="C203">
        <f>VLOOKUP(B203,'[1]oasis_cross-sectional'!A$1:K$236,4,FALSE)</f>
        <v>69</v>
      </c>
      <c r="D203">
        <f>VLOOKUP(B203,'[1]oasis_cross-sectional'!A$1:K$236,7,FALSE)</f>
        <v>24</v>
      </c>
      <c r="E203" t="s">
        <v>620</v>
      </c>
      <c r="F203" t="str">
        <f>VLOOKUP(B203,'[1]oasis_cross-sectional'!A$1:K$236,2,FALSE)</f>
        <v>M</v>
      </c>
    </row>
    <row r="204" spans="1:6">
      <c r="A204" t="s">
        <v>203</v>
      </c>
      <c r="B204" t="s">
        <v>514</v>
      </c>
      <c r="C204">
        <f>VLOOKUP(B204,'[1]oasis_cross-sectional'!A$1:K$236,4,FALSE)</f>
        <v>71</v>
      </c>
      <c r="D204">
        <f>VLOOKUP(B204,'[1]oasis_cross-sectional'!A$1:K$236,7,FALSE)</f>
        <v>30</v>
      </c>
      <c r="E204" t="s">
        <v>620</v>
      </c>
      <c r="F204" t="str">
        <f>VLOOKUP(B204,'[1]oasis_cross-sectional'!A$1:K$236,2,FALSE)</f>
        <v>M</v>
      </c>
    </row>
    <row r="205" spans="1:6">
      <c r="A205" t="s">
        <v>204</v>
      </c>
      <c r="B205" t="s">
        <v>515</v>
      </c>
      <c r="C205">
        <f>VLOOKUP(B205,'[1]oasis_cross-sectional'!A$1:K$236,4,FALSE)</f>
        <v>78</v>
      </c>
      <c r="D205">
        <f>VLOOKUP(B205,'[1]oasis_cross-sectional'!A$1:K$236,7,FALSE)</f>
        <v>29</v>
      </c>
      <c r="E205" t="s">
        <v>620</v>
      </c>
      <c r="F205" t="str">
        <f>VLOOKUP(B205,'[1]oasis_cross-sectional'!A$1:K$236,2,FALSE)</f>
        <v>M</v>
      </c>
    </row>
    <row r="206" spans="1:6">
      <c r="A206" t="s">
        <v>205</v>
      </c>
      <c r="B206" t="s">
        <v>516</v>
      </c>
      <c r="C206">
        <f>VLOOKUP(B206,'[1]oasis_cross-sectional'!A$1:K$236,4,FALSE)</f>
        <v>92</v>
      </c>
      <c r="D206">
        <f>VLOOKUP(B206,'[1]oasis_cross-sectional'!A$1:K$236,7,FALSE)</f>
        <v>25</v>
      </c>
      <c r="E206" t="s">
        <v>620</v>
      </c>
      <c r="F206" t="str">
        <f>VLOOKUP(B206,'[1]oasis_cross-sectional'!A$1:K$236,2,FALSE)</f>
        <v>F</v>
      </c>
    </row>
    <row r="207" spans="1:6">
      <c r="A207" t="s">
        <v>206</v>
      </c>
      <c r="B207" t="s">
        <v>517</v>
      </c>
      <c r="C207">
        <f>VLOOKUP(B207,'[1]oasis_cross-sectional'!A$1:K$236,4,FALSE)</f>
        <v>54</v>
      </c>
      <c r="D207">
        <f>VLOOKUP(B207,'[1]oasis_cross-sectional'!A$1:K$236,7,FALSE)</f>
        <v>29</v>
      </c>
      <c r="E207" t="s">
        <v>620</v>
      </c>
      <c r="F207" t="str">
        <f>VLOOKUP(B207,'[1]oasis_cross-sectional'!A$1:K$236,2,FALSE)</f>
        <v>F</v>
      </c>
    </row>
    <row r="208" spans="1:6">
      <c r="A208" t="s">
        <v>207</v>
      </c>
      <c r="B208" t="s">
        <v>518</v>
      </c>
      <c r="C208">
        <f>VLOOKUP(B208,'[1]oasis_cross-sectional'!A$1:K$236,4,FALSE)</f>
        <v>76</v>
      </c>
      <c r="D208">
        <f>VLOOKUP(B208,'[1]oasis_cross-sectional'!A$1:K$236,7,FALSE)</f>
        <v>30</v>
      </c>
      <c r="E208" t="s">
        <v>620</v>
      </c>
      <c r="F208" t="str">
        <f>VLOOKUP(B208,'[1]oasis_cross-sectional'!A$1:K$236,2,FALSE)</f>
        <v>F</v>
      </c>
    </row>
    <row r="209" spans="1:6">
      <c r="A209" t="s">
        <v>208</v>
      </c>
      <c r="B209" t="s">
        <v>519</v>
      </c>
      <c r="C209">
        <f>VLOOKUP(B209,'[1]oasis_cross-sectional'!A$1:K$236,4,FALSE)</f>
        <v>73</v>
      </c>
      <c r="D209">
        <f>VLOOKUP(B209,'[1]oasis_cross-sectional'!A$1:K$236,7,FALSE)</f>
        <v>29</v>
      </c>
      <c r="E209" t="s">
        <v>620</v>
      </c>
      <c r="F209" t="str">
        <f>VLOOKUP(B209,'[1]oasis_cross-sectional'!A$1:K$236,2,FALSE)</f>
        <v>F</v>
      </c>
    </row>
    <row r="210" spans="1:6">
      <c r="A210" t="s">
        <v>209</v>
      </c>
      <c r="B210" t="s">
        <v>520</v>
      </c>
      <c r="C210">
        <f>VLOOKUP(B210,'[1]oasis_cross-sectional'!A$1:K$236,4,FALSE)</f>
        <v>77</v>
      </c>
      <c r="D210">
        <f>VLOOKUP(B210,'[1]oasis_cross-sectional'!A$1:K$236,7,FALSE)</f>
        <v>23</v>
      </c>
      <c r="E210" t="s">
        <v>620</v>
      </c>
      <c r="F210" t="str">
        <f>VLOOKUP(B210,'[1]oasis_cross-sectional'!A$1:K$236,2,FALSE)</f>
        <v>M</v>
      </c>
    </row>
    <row r="211" spans="1:6">
      <c r="A211" t="s">
        <v>210</v>
      </c>
      <c r="B211" t="s">
        <v>521</v>
      </c>
      <c r="C211">
        <f>VLOOKUP(B211,'[1]oasis_cross-sectional'!A$1:K$236,4,FALSE)</f>
        <v>71</v>
      </c>
      <c r="D211">
        <f>VLOOKUP(B211,'[1]oasis_cross-sectional'!A$1:K$236,7,FALSE)</f>
        <v>29</v>
      </c>
      <c r="E211" t="s">
        <v>620</v>
      </c>
      <c r="F211" t="str">
        <f>VLOOKUP(B211,'[1]oasis_cross-sectional'!A$1:K$236,2,FALSE)</f>
        <v>F</v>
      </c>
    </row>
    <row r="212" spans="1:6">
      <c r="A212" t="s">
        <v>211</v>
      </c>
      <c r="B212" t="s">
        <v>522</v>
      </c>
      <c r="C212">
        <f>VLOOKUP(B212,'[1]oasis_cross-sectional'!A$1:K$236,4,FALSE)</f>
        <v>74</v>
      </c>
      <c r="D212">
        <f>VLOOKUP(B212,'[1]oasis_cross-sectional'!A$1:K$236,7,FALSE)</f>
        <v>28</v>
      </c>
      <c r="E212" t="s">
        <v>620</v>
      </c>
      <c r="F212" t="str">
        <f>VLOOKUP(B212,'[1]oasis_cross-sectional'!A$1:K$236,2,FALSE)</f>
        <v>M</v>
      </c>
    </row>
    <row r="213" spans="1:6">
      <c r="A213" t="s">
        <v>212</v>
      </c>
      <c r="B213" t="s">
        <v>523</v>
      </c>
      <c r="C213">
        <f>VLOOKUP(B213,'[1]oasis_cross-sectional'!A$1:K$236,4,FALSE)</f>
        <v>69</v>
      </c>
      <c r="D213">
        <f>VLOOKUP(B213,'[1]oasis_cross-sectional'!A$1:K$236,7,FALSE)</f>
        <v>29</v>
      </c>
      <c r="E213" t="s">
        <v>620</v>
      </c>
      <c r="F213" t="str">
        <f>VLOOKUP(B213,'[1]oasis_cross-sectional'!A$1:K$236,2,FALSE)</f>
        <v>F</v>
      </c>
    </row>
    <row r="214" spans="1:6">
      <c r="A214" t="s">
        <v>213</v>
      </c>
      <c r="B214" t="s">
        <v>524</v>
      </c>
      <c r="C214">
        <f>VLOOKUP(B214,'[1]oasis_cross-sectional'!A$1:K$236,4,FALSE)</f>
        <v>75</v>
      </c>
      <c r="D214">
        <f>VLOOKUP(B214,'[1]oasis_cross-sectional'!A$1:K$236,7,FALSE)</f>
        <v>28</v>
      </c>
      <c r="E214" t="s">
        <v>620</v>
      </c>
      <c r="F214" t="str">
        <f>VLOOKUP(B214,'[1]oasis_cross-sectional'!A$1:K$236,2,FALSE)</f>
        <v>M</v>
      </c>
    </row>
    <row r="215" spans="1:6">
      <c r="A215" t="s">
        <v>214</v>
      </c>
      <c r="B215" t="s">
        <v>525</v>
      </c>
      <c r="C215">
        <f>VLOOKUP(B215,'[1]oasis_cross-sectional'!A$1:K$236,4,FALSE)</f>
        <v>75</v>
      </c>
      <c r="D215">
        <f>VLOOKUP(B215,'[1]oasis_cross-sectional'!A$1:K$236,7,FALSE)</f>
        <v>20</v>
      </c>
      <c r="E215" t="s">
        <v>620</v>
      </c>
      <c r="F215" t="str">
        <f>VLOOKUP(B215,'[1]oasis_cross-sectional'!A$1:K$236,2,FALSE)</f>
        <v>M</v>
      </c>
    </row>
    <row r="216" spans="1:6">
      <c r="A216" t="s">
        <v>215</v>
      </c>
      <c r="B216" t="s">
        <v>526</v>
      </c>
      <c r="C216">
        <f>VLOOKUP(B216,'[1]oasis_cross-sectional'!A$1:K$236,4,FALSE)</f>
        <v>78</v>
      </c>
      <c r="D216">
        <f>VLOOKUP(B216,'[1]oasis_cross-sectional'!A$1:K$236,7,FALSE)</f>
        <v>23</v>
      </c>
      <c r="E216" t="s">
        <v>620</v>
      </c>
      <c r="F216" t="str">
        <f>VLOOKUP(B216,'[1]oasis_cross-sectional'!A$1:K$236,2,FALSE)</f>
        <v>F</v>
      </c>
    </row>
    <row r="217" spans="1:6">
      <c r="A217" t="s">
        <v>216</v>
      </c>
      <c r="B217" t="s">
        <v>527</v>
      </c>
      <c r="C217">
        <f>VLOOKUP(B217,'[1]oasis_cross-sectional'!A$1:K$236,4,FALSE)</f>
        <v>82</v>
      </c>
      <c r="D217">
        <f>VLOOKUP(B217,'[1]oasis_cross-sectional'!A$1:K$236,7,FALSE)</f>
        <v>29</v>
      </c>
      <c r="E217" t="s">
        <v>620</v>
      </c>
      <c r="F217" t="str">
        <f>VLOOKUP(B217,'[1]oasis_cross-sectional'!A$1:K$236,2,FALSE)</f>
        <v>F</v>
      </c>
    </row>
    <row r="218" spans="1:6">
      <c r="A218" t="s">
        <v>217</v>
      </c>
      <c r="B218" t="s">
        <v>528</v>
      </c>
      <c r="C218">
        <f>VLOOKUP(B218,'[1]oasis_cross-sectional'!A$1:K$236,4,FALSE)</f>
        <v>84</v>
      </c>
      <c r="D218">
        <f>VLOOKUP(B218,'[1]oasis_cross-sectional'!A$1:K$236,7,FALSE)</f>
        <v>28</v>
      </c>
      <c r="E218" t="s">
        <v>620</v>
      </c>
      <c r="F218" t="str">
        <f>VLOOKUP(B218,'[1]oasis_cross-sectional'!A$1:K$236,2,FALSE)</f>
        <v>F</v>
      </c>
    </row>
    <row r="219" spans="1:6">
      <c r="A219" t="s">
        <v>218</v>
      </c>
      <c r="B219" t="s">
        <v>529</v>
      </c>
      <c r="C219">
        <f>VLOOKUP(B219,'[1]oasis_cross-sectional'!A$1:K$236,4,FALSE)</f>
        <v>71</v>
      </c>
      <c r="D219">
        <f>VLOOKUP(B219,'[1]oasis_cross-sectional'!A$1:K$236,7,FALSE)</f>
        <v>17</v>
      </c>
      <c r="E219" t="s">
        <v>620</v>
      </c>
      <c r="F219" t="str">
        <f>VLOOKUP(B219,'[1]oasis_cross-sectional'!A$1:K$236,2,FALSE)</f>
        <v>M</v>
      </c>
    </row>
    <row r="220" spans="1:6">
      <c r="A220" t="s">
        <v>219</v>
      </c>
      <c r="B220" t="s">
        <v>530</v>
      </c>
      <c r="C220">
        <f>VLOOKUP(B220,'[1]oasis_cross-sectional'!A$1:K$236,4,FALSE)</f>
        <v>72</v>
      </c>
      <c r="D220">
        <f>VLOOKUP(B220,'[1]oasis_cross-sectional'!A$1:K$236,7,FALSE)</f>
        <v>26</v>
      </c>
      <c r="E220" t="s">
        <v>620</v>
      </c>
      <c r="F220" t="str">
        <f>VLOOKUP(B220,'[1]oasis_cross-sectional'!A$1:K$236,2,FALSE)</f>
        <v>F</v>
      </c>
    </row>
    <row r="221" spans="1:6">
      <c r="A221" t="s">
        <v>220</v>
      </c>
      <c r="B221" t="s">
        <v>531</v>
      </c>
      <c r="C221">
        <f>VLOOKUP(B221,'[1]oasis_cross-sectional'!A$1:K$236,4,FALSE)</f>
        <v>58</v>
      </c>
      <c r="D221">
        <f>VLOOKUP(B221,'[1]oasis_cross-sectional'!A$1:K$236,7,FALSE)</f>
        <v>27</v>
      </c>
      <c r="E221" t="s">
        <v>620</v>
      </c>
      <c r="F221" t="str">
        <f>VLOOKUP(B221,'[1]oasis_cross-sectional'!A$1:K$236,2,FALSE)</f>
        <v>M</v>
      </c>
    </row>
    <row r="222" spans="1:6">
      <c r="A222" t="s">
        <v>221</v>
      </c>
      <c r="B222" t="s">
        <v>532</v>
      </c>
      <c r="C222">
        <f>VLOOKUP(B222,'[1]oasis_cross-sectional'!A$1:K$236,4,FALSE)</f>
        <v>66</v>
      </c>
      <c r="D222">
        <f>VLOOKUP(B222,'[1]oasis_cross-sectional'!A$1:K$236,7,FALSE)</f>
        <v>29</v>
      </c>
      <c r="E222" t="s">
        <v>620</v>
      </c>
      <c r="F222" t="str">
        <f>VLOOKUP(B222,'[1]oasis_cross-sectional'!A$1:K$236,2,FALSE)</f>
        <v>F</v>
      </c>
    </row>
    <row r="223" spans="1:6">
      <c r="A223" t="s">
        <v>222</v>
      </c>
      <c r="B223" t="s">
        <v>533</v>
      </c>
      <c r="C223">
        <f>VLOOKUP(B223,'[1]oasis_cross-sectional'!A$1:K$236,4,FALSE)</f>
        <v>86</v>
      </c>
      <c r="D223">
        <f>VLOOKUP(B223,'[1]oasis_cross-sectional'!A$1:K$236,7,FALSE)</f>
        <v>27</v>
      </c>
      <c r="E223" t="s">
        <v>620</v>
      </c>
      <c r="F223" t="str">
        <f>VLOOKUP(B223,'[1]oasis_cross-sectional'!A$1:K$236,2,FALSE)</f>
        <v>M</v>
      </c>
    </row>
    <row r="224" spans="1:6">
      <c r="A224" t="s">
        <v>223</v>
      </c>
      <c r="B224" t="s">
        <v>534</v>
      </c>
      <c r="C224">
        <f>VLOOKUP(B224,'[1]oasis_cross-sectional'!A$1:K$236,4,FALSE)</f>
        <v>81</v>
      </c>
      <c r="D224">
        <f>VLOOKUP(B224,'[1]oasis_cross-sectional'!A$1:K$236,7,FALSE)</f>
        <v>29</v>
      </c>
      <c r="E224" t="s">
        <v>620</v>
      </c>
      <c r="F224" t="str">
        <f>VLOOKUP(B224,'[1]oasis_cross-sectional'!A$1:K$236,2,FALSE)</f>
        <v>M</v>
      </c>
    </row>
    <row r="225" spans="1:6">
      <c r="A225" t="s">
        <v>224</v>
      </c>
      <c r="B225" t="s">
        <v>535</v>
      </c>
      <c r="C225">
        <f>VLOOKUP(B225,'[1]oasis_cross-sectional'!A$1:K$236,4,FALSE)</f>
        <v>52</v>
      </c>
      <c r="D225">
        <f>VLOOKUP(B225,'[1]oasis_cross-sectional'!A$1:K$236,7,FALSE)</f>
        <v>30</v>
      </c>
      <c r="E225" t="s">
        <v>620</v>
      </c>
      <c r="F225" t="str">
        <f>VLOOKUP(B225,'[1]oasis_cross-sectional'!A$1:K$236,2,FALSE)</f>
        <v>F</v>
      </c>
    </row>
    <row r="226" spans="1:6">
      <c r="A226" t="s">
        <v>225</v>
      </c>
      <c r="B226" t="s">
        <v>536</v>
      </c>
      <c r="C226">
        <f>VLOOKUP(B226,'[1]oasis_cross-sectional'!A$1:K$236,4,FALSE)</f>
        <v>90</v>
      </c>
      <c r="D226">
        <f>VLOOKUP(B226,'[1]oasis_cross-sectional'!A$1:K$236,7,FALSE)</f>
        <v>29</v>
      </c>
      <c r="E226" t="s">
        <v>620</v>
      </c>
      <c r="F226" t="str">
        <f>VLOOKUP(B226,'[1]oasis_cross-sectional'!A$1:K$236,2,FALSE)</f>
        <v>F</v>
      </c>
    </row>
    <row r="227" spans="1:6">
      <c r="A227" t="s">
        <v>226</v>
      </c>
      <c r="B227" t="s">
        <v>537</v>
      </c>
      <c r="C227">
        <f>VLOOKUP(B227,'[1]oasis_cross-sectional'!A$1:K$236,4,FALSE)</f>
        <v>80</v>
      </c>
      <c r="D227">
        <f>VLOOKUP(B227,'[1]oasis_cross-sectional'!A$1:K$236,7,FALSE)</f>
        <v>30</v>
      </c>
      <c r="E227" t="s">
        <v>620</v>
      </c>
      <c r="F227" t="str">
        <f>VLOOKUP(B227,'[1]oasis_cross-sectional'!A$1:K$236,2,FALSE)</f>
        <v>F</v>
      </c>
    </row>
    <row r="228" spans="1:6">
      <c r="A228" t="s">
        <v>227</v>
      </c>
      <c r="B228" t="s">
        <v>538</v>
      </c>
      <c r="C228">
        <f>VLOOKUP(B228,'[1]oasis_cross-sectional'!A$1:K$236,4,FALSE)</f>
        <v>92</v>
      </c>
      <c r="D228">
        <f>VLOOKUP(B228,'[1]oasis_cross-sectional'!A$1:K$236,7,FALSE)</f>
        <v>24</v>
      </c>
      <c r="E228" t="s">
        <v>620</v>
      </c>
      <c r="F228" t="str">
        <f>VLOOKUP(B228,'[1]oasis_cross-sectional'!A$1:K$236,2,FALSE)</f>
        <v>F</v>
      </c>
    </row>
    <row r="229" spans="1:6">
      <c r="A229" t="s">
        <v>228</v>
      </c>
      <c r="B229" t="s">
        <v>539</v>
      </c>
      <c r="C229">
        <f>VLOOKUP(B229,'[1]oasis_cross-sectional'!A$1:K$236,4,FALSE)</f>
        <v>71</v>
      </c>
      <c r="D229">
        <f>VLOOKUP(B229,'[1]oasis_cross-sectional'!A$1:K$236,7,FALSE)</f>
        <v>29</v>
      </c>
      <c r="E229" t="s">
        <v>620</v>
      </c>
      <c r="F229" t="str">
        <f>VLOOKUP(B229,'[1]oasis_cross-sectional'!A$1:K$236,2,FALSE)</f>
        <v>F</v>
      </c>
    </row>
    <row r="230" spans="1:6">
      <c r="A230" t="s">
        <v>229</v>
      </c>
      <c r="B230" t="s">
        <v>540</v>
      </c>
      <c r="C230">
        <f>VLOOKUP(B230,'[1]oasis_cross-sectional'!A$1:K$236,4,FALSE)</f>
        <v>73</v>
      </c>
      <c r="D230">
        <f>VLOOKUP(B230,'[1]oasis_cross-sectional'!A$1:K$236,7,FALSE)</f>
        <v>27</v>
      </c>
      <c r="E230" t="s">
        <v>620</v>
      </c>
      <c r="F230" t="str">
        <f>VLOOKUP(B230,'[1]oasis_cross-sectional'!A$1:K$236,2,FALSE)</f>
        <v>M</v>
      </c>
    </row>
    <row r="231" spans="1:6">
      <c r="A231" t="s">
        <v>230</v>
      </c>
      <c r="B231" t="s">
        <v>541</v>
      </c>
      <c r="C231">
        <f>VLOOKUP(B231,'[1]oasis_cross-sectional'!A$1:K$236,4,FALSE)</f>
        <v>75</v>
      </c>
      <c r="D231">
        <f>VLOOKUP(B231,'[1]oasis_cross-sectional'!A$1:K$236,7,FALSE)</f>
        <v>22</v>
      </c>
      <c r="E231" t="s">
        <v>620</v>
      </c>
      <c r="F231" t="str">
        <f>VLOOKUP(B231,'[1]oasis_cross-sectional'!A$1:K$236,2,FALSE)</f>
        <v>M</v>
      </c>
    </row>
    <row r="232" spans="1:6">
      <c r="A232" t="s">
        <v>231</v>
      </c>
      <c r="B232" t="s">
        <v>542</v>
      </c>
      <c r="C232">
        <f>VLOOKUP(B232,'[1]oasis_cross-sectional'!A$1:K$236,4,FALSE)</f>
        <v>70</v>
      </c>
      <c r="D232">
        <f>VLOOKUP(B232,'[1]oasis_cross-sectional'!A$1:K$236,7,FALSE)</f>
        <v>29</v>
      </c>
      <c r="E232" t="s">
        <v>620</v>
      </c>
      <c r="F232" t="str">
        <f>VLOOKUP(B232,'[1]oasis_cross-sectional'!A$1:K$236,2,FALSE)</f>
        <v>F</v>
      </c>
    </row>
    <row r="233" spans="1:6">
      <c r="A233" t="s">
        <v>232</v>
      </c>
      <c r="B233" t="s">
        <v>543</v>
      </c>
      <c r="C233">
        <f>VLOOKUP(B233,'[1]oasis_cross-sectional'!A$1:K$236,4,FALSE)</f>
        <v>73</v>
      </c>
      <c r="D233">
        <f>VLOOKUP(B233,'[1]oasis_cross-sectional'!A$1:K$236,7,FALSE)</f>
        <v>23</v>
      </c>
      <c r="E233" t="s">
        <v>620</v>
      </c>
      <c r="F233" t="str">
        <f>VLOOKUP(B233,'[1]oasis_cross-sectional'!A$1:K$236,2,FALSE)</f>
        <v>F</v>
      </c>
    </row>
    <row r="234" spans="1:6">
      <c r="A234" t="s">
        <v>233</v>
      </c>
      <c r="B234" t="s">
        <v>544</v>
      </c>
      <c r="C234">
        <f>VLOOKUP(B234,'[1]oasis_cross-sectional'!A$1:K$236,4,FALSE)</f>
        <v>61</v>
      </c>
      <c r="D234">
        <f>VLOOKUP(B234,'[1]oasis_cross-sectional'!A$1:K$236,7,FALSE)</f>
        <v>28</v>
      </c>
      <c r="E234" t="s">
        <v>620</v>
      </c>
      <c r="F234" t="str">
        <f>VLOOKUP(B234,'[1]oasis_cross-sectional'!A$1:K$236,2,FALSE)</f>
        <v>F</v>
      </c>
    </row>
    <row r="235" spans="1:6">
      <c r="A235" t="s">
        <v>234</v>
      </c>
      <c r="B235" t="s">
        <v>545</v>
      </c>
      <c r="C235">
        <f>VLOOKUP(B235,'[1]oasis_cross-sectional'!A$1:K$236,4,FALSE)</f>
        <v>61</v>
      </c>
      <c r="D235">
        <f>VLOOKUP(B235,'[1]oasis_cross-sectional'!A$1:K$236,7,FALSE)</f>
        <v>30</v>
      </c>
      <c r="E235" t="s">
        <v>620</v>
      </c>
      <c r="F235" t="str">
        <f>VLOOKUP(B235,'[1]oasis_cross-sectional'!A$1:K$236,2,FALSE)</f>
        <v>M</v>
      </c>
    </row>
    <row r="236" spans="1:6">
      <c r="A236" t="s">
        <v>235</v>
      </c>
      <c r="B236" t="s">
        <v>546</v>
      </c>
      <c r="C236">
        <f>VLOOKUP(B236,'[1]oasis_cross-sectional'!A$1:K$236,4,FALSE)</f>
        <v>62</v>
      </c>
      <c r="D236">
        <f>VLOOKUP(B236,'[1]oasis_cross-sectional'!A$1:K$236,7,FALSE)</f>
        <v>26</v>
      </c>
      <c r="E236" t="s">
        <v>620</v>
      </c>
      <c r="F236" t="str">
        <f>VLOOKUP(B236,'[1]oasis_cross-sectional'!A$1:K$236,2,FALSE)</f>
        <v>F</v>
      </c>
    </row>
    <row r="237" spans="1:6">
      <c r="A237" t="s">
        <v>236</v>
      </c>
      <c r="B237" t="s">
        <v>547</v>
      </c>
      <c r="C237">
        <f>VLOOKUP(B237,[2]Sheet1!B$1:O$372,7,FALSE)</f>
        <v>87</v>
      </c>
      <c r="D237">
        <f>VLOOKUP(B237,[2]Sheet1!B$1:O$372,10,FALSE)</f>
        <v>27</v>
      </c>
      <c r="E237" t="s">
        <v>620</v>
      </c>
      <c r="F237" t="str">
        <f>VLOOKUP(B237,[2]Sheet1!B$1:O$372,5,FALSE)</f>
        <v>M</v>
      </c>
    </row>
    <row r="238" spans="1:6">
      <c r="A238" t="s">
        <v>237</v>
      </c>
      <c r="B238" t="s">
        <v>548</v>
      </c>
      <c r="C238">
        <f>VLOOKUP(B238,[2]Sheet1!B$1:O$372,7,FALSE)</f>
        <v>88</v>
      </c>
      <c r="D238">
        <f>VLOOKUP(B238,[2]Sheet1!B$1:O$372,10,FALSE)</f>
        <v>28</v>
      </c>
      <c r="E238" t="s">
        <v>620</v>
      </c>
      <c r="F238" t="str">
        <f>VLOOKUP(B238,[2]Sheet1!B$1:O$372,5,FALSE)</f>
        <v>F</v>
      </c>
    </row>
    <row r="239" spans="1:6">
      <c r="A239" t="s">
        <v>238</v>
      </c>
      <c r="B239" t="s">
        <v>549</v>
      </c>
      <c r="C239">
        <f>VLOOKUP(B239,[2]Sheet1!B$1:O$372,7,FALSE)</f>
        <v>80</v>
      </c>
      <c r="D239">
        <f>VLOOKUP(B239,[2]Sheet1!B$1:O$372,10,FALSE)</f>
        <v>28</v>
      </c>
      <c r="E239" t="s">
        <v>620</v>
      </c>
      <c r="F239" t="str">
        <f>VLOOKUP(B239,[2]Sheet1!B$1:O$372,5,FALSE)</f>
        <v>M</v>
      </c>
    </row>
    <row r="240" spans="1:6">
      <c r="A240" t="s">
        <v>239</v>
      </c>
      <c r="B240" t="s">
        <v>550</v>
      </c>
      <c r="C240">
        <f>VLOOKUP(B240,[2]Sheet1!B$1:O$372,7,FALSE)</f>
        <v>93</v>
      </c>
      <c r="D240">
        <f>VLOOKUP(B240,[2]Sheet1!B$1:O$372,10,FALSE)</f>
        <v>30</v>
      </c>
      <c r="E240" t="s">
        <v>620</v>
      </c>
      <c r="F240" t="str">
        <f>VLOOKUP(B240,[2]Sheet1!B$1:O$372,5,FALSE)</f>
        <v>F</v>
      </c>
    </row>
    <row r="241" spans="1:6">
      <c r="A241" t="s">
        <v>240</v>
      </c>
      <c r="B241" t="s">
        <v>551</v>
      </c>
      <c r="C241">
        <f>VLOOKUP(B241,[2]Sheet1!B$1:O$372,7,FALSE)</f>
        <v>78</v>
      </c>
      <c r="D241">
        <f>VLOOKUP(B241,[2]Sheet1!B$1:O$372,10,FALSE)</f>
        <v>29</v>
      </c>
      <c r="E241" t="s">
        <v>620</v>
      </c>
      <c r="F241" t="str">
        <f>VLOOKUP(B241,[2]Sheet1!B$1:O$372,5,FALSE)</f>
        <v>F</v>
      </c>
    </row>
    <row r="242" spans="1:6">
      <c r="A242" t="s">
        <v>241</v>
      </c>
      <c r="B242" t="s">
        <v>552</v>
      </c>
      <c r="C242">
        <f>VLOOKUP(B242,[2]Sheet1!B$1:O$372,7,FALSE)</f>
        <v>81</v>
      </c>
      <c r="D242">
        <f>VLOOKUP(B242,[2]Sheet1!B$1:O$372,10,FALSE)</f>
        <v>30</v>
      </c>
      <c r="E242" t="s">
        <v>620</v>
      </c>
      <c r="F242" t="str">
        <f>VLOOKUP(B242,[2]Sheet1!B$1:O$372,5,FALSE)</f>
        <v>F</v>
      </c>
    </row>
    <row r="243" spans="1:6">
      <c r="A243" t="s">
        <v>242</v>
      </c>
      <c r="B243" t="s">
        <v>553</v>
      </c>
      <c r="C243">
        <f>VLOOKUP(B243,[2]Sheet1!B$1:O$372,7,FALSE)</f>
        <v>80</v>
      </c>
      <c r="D243">
        <f>VLOOKUP(B243,[2]Sheet1!B$1:O$372,10,FALSE)</f>
        <v>29</v>
      </c>
      <c r="E243" t="s">
        <v>620</v>
      </c>
      <c r="F243" t="str">
        <f>VLOOKUP(B243,[2]Sheet1!B$1:O$372,5,FALSE)</f>
        <v>M</v>
      </c>
    </row>
    <row r="244" spans="1:6">
      <c r="A244" t="s">
        <v>243</v>
      </c>
      <c r="B244" t="s">
        <v>554</v>
      </c>
      <c r="C244">
        <f>VLOOKUP(B244,[2]Sheet1!B$1:O$372,7,FALSE)</f>
        <v>61</v>
      </c>
      <c r="D244">
        <f>VLOOKUP(B244,[2]Sheet1!B$1:O$372,10,FALSE)</f>
        <v>30</v>
      </c>
      <c r="E244" t="s">
        <v>620</v>
      </c>
      <c r="F244" t="str">
        <f>VLOOKUP(B244,[2]Sheet1!B$1:O$372,5,FALSE)</f>
        <v>F</v>
      </c>
    </row>
    <row r="245" spans="1:6">
      <c r="A245" t="s">
        <v>244</v>
      </c>
      <c r="B245" t="s">
        <v>555</v>
      </c>
      <c r="C245">
        <f>VLOOKUP(B245,[2]Sheet1!B$1:O$372,7,FALSE)</f>
        <v>69</v>
      </c>
      <c r="D245">
        <f>VLOOKUP(B245,[2]Sheet1!B$1:O$372,10,FALSE)</f>
        <v>29</v>
      </c>
      <c r="E245" t="s">
        <v>620</v>
      </c>
      <c r="F245" t="str">
        <f>VLOOKUP(B245,[2]Sheet1!B$1:O$372,5,FALSE)</f>
        <v>F</v>
      </c>
    </row>
    <row r="246" spans="1:6">
      <c r="A246" t="s">
        <v>245</v>
      </c>
      <c r="B246" t="s">
        <v>556</v>
      </c>
      <c r="C246">
        <f>VLOOKUP(B246,[2]Sheet1!B$1:O$372,7,FALSE)</f>
        <v>77</v>
      </c>
      <c r="D246">
        <f>VLOOKUP(B246,[2]Sheet1!B$1:O$372,10,FALSE)</f>
        <v>29</v>
      </c>
      <c r="E246" t="s">
        <v>620</v>
      </c>
      <c r="F246" t="str">
        <f>VLOOKUP(B246,[2]Sheet1!B$1:O$372,5,FALSE)</f>
        <v>F</v>
      </c>
    </row>
    <row r="247" spans="1:6">
      <c r="A247" t="s">
        <v>246</v>
      </c>
      <c r="B247" t="s">
        <v>557</v>
      </c>
      <c r="C247">
        <f>VLOOKUP(B247,[2]Sheet1!B$1:O$372,7,FALSE)</f>
        <v>60</v>
      </c>
      <c r="D247">
        <f>VLOOKUP(B247,[2]Sheet1!B$1:O$372,10,FALSE)</f>
        <v>30</v>
      </c>
      <c r="E247" t="s">
        <v>620</v>
      </c>
      <c r="F247" t="str">
        <f>VLOOKUP(B247,[2]Sheet1!B$1:O$372,5,FALSE)</f>
        <v>F</v>
      </c>
    </row>
    <row r="248" spans="1:6">
      <c r="A248" t="s">
        <v>247</v>
      </c>
      <c r="B248" t="s">
        <v>558</v>
      </c>
      <c r="C248">
        <f>VLOOKUP(B248,[2]Sheet1!B$1:O$372,7,FALSE)</f>
        <v>79</v>
      </c>
      <c r="D248">
        <f>VLOOKUP(B248,[2]Sheet1!B$1:O$372,10,FALSE)</f>
        <v>29</v>
      </c>
      <c r="E248" t="s">
        <v>620</v>
      </c>
      <c r="F248" t="str">
        <f>VLOOKUP(B248,[2]Sheet1!B$1:O$372,5,FALSE)</f>
        <v>F</v>
      </c>
    </row>
    <row r="249" spans="1:6">
      <c r="A249" t="s">
        <v>248</v>
      </c>
      <c r="B249" t="s">
        <v>559</v>
      </c>
      <c r="C249">
        <f>VLOOKUP(B249,[2]Sheet1!B$1:O$372,7,FALSE)</f>
        <v>88</v>
      </c>
      <c r="D249">
        <f>VLOOKUP(B249,[2]Sheet1!B$1:O$372,10,FALSE)</f>
        <v>30</v>
      </c>
      <c r="E249" t="s">
        <v>620</v>
      </c>
      <c r="F249" t="str">
        <f>VLOOKUP(B249,[2]Sheet1!B$1:O$372,5,FALSE)</f>
        <v>F</v>
      </c>
    </row>
    <row r="250" spans="1:6">
      <c r="A250" t="s">
        <v>249</v>
      </c>
      <c r="B250" t="s">
        <v>560</v>
      </c>
      <c r="C250">
        <f>VLOOKUP(B250,[2]Sheet1!B$1:O$372,7,FALSE)</f>
        <v>69</v>
      </c>
      <c r="D250">
        <f>VLOOKUP(B250,[2]Sheet1!B$1:O$372,10,FALSE)</f>
        <v>30</v>
      </c>
      <c r="E250" t="s">
        <v>620</v>
      </c>
      <c r="F250" t="str">
        <f>VLOOKUP(B250,[2]Sheet1!B$1:O$372,5,FALSE)</f>
        <v>F</v>
      </c>
    </row>
    <row r="251" spans="1:6">
      <c r="A251" t="s">
        <v>250</v>
      </c>
      <c r="B251" t="s">
        <v>561</v>
      </c>
      <c r="C251">
        <f>VLOOKUP(B251,[2]Sheet1!B$1:O$372,7,FALSE)</f>
        <v>70</v>
      </c>
      <c r="D251">
        <f>VLOOKUP(B251,[2]Sheet1!B$1:O$372,10,FALSE)</f>
        <v>29</v>
      </c>
      <c r="E251" t="s">
        <v>620</v>
      </c>
      <c r="F251" t="str">
        <f>VLOOKUP(B251,[2]Sheet1!B$1:O$372,5,FALSE)</f>
        <v>F</v>
      </c>
    </row>
    <row r="252" spans="1:6">
      <c r="A252" t="s">
        <v>251</v>
      </c>
      <c r="B252" t="s">
        <v>562</v>
      </c>
      <c r="C252">
        <f>VLOOKUP(B252,[2]Sheet1!B$1:O$372,7,FALSE)</f>
        <v>75</v>
      </c>
      <c r="D252">
        <f>VLOOKUP(B252,[2]Sheet1!B$1:O$372,10,FALSE)</f>
        <v>30</v>
      </c>
      <c r="E252" t="s">
        <v>620</v>
      </c>
      <c r="F252" t="str">
        <f>VLOOKUP(B252,[2]Sheet1!B$1:O$372,5,FALSE)</f>
        <v>F</v>
      </c>
    </row>
    <row r="253" spans="1:6">
      <c r="A253" t="s">
        <v>252</v>
      </c>
      <c r="B253" t="s">
        <v>563</v>
      </c>
      <c r="C253">
        <f>VLOOKUP(B253,[2]Sheet1!B$1:O$372,7,FALSE)</f>
        <v>77</v>
      </c>
      <c r="D253">
        <f>VLOOKUP(B253,[2]Sheet1!B$1:O$372,10,FALSE)</f>
        <v>29</v>
      </c>
      <c r="E253" t="s">
        <v>620</v>
      </c>
      <c r="F253" t="str">
        <f>VLOOKUP(B253,[2]Sheet1!B$1:O$372,5,FALSE)</f>
        <v>F</v>
      </c>
    </row>
    <row r="254" spans="1:6">
      <c r="A254" t="s">
        <v>253</v>
      </c>
      <c r="B254" t="s">
        <v>564</v>
      </c>
      <c r="C254">
        <f>VLOOKUP(B254,[2]Sheet1!B$1:O$372,7,FALSE)</f>
        <v>69</v>
      </c>
      <c r="D254">
        <f>VLOOKUP(B254,[2]Sheet1!B$1:O$372,10,FALSE)</f>
        <v>30</v>
      </c>
      <c r="E254" t="s">
        <v>620</v>
      </c>
      <c r="F254" t="str">
        <f>VLOOKUP(B254,[2]Sheet1!B$1:O$372,5,FALSE)</f>
        <v>F</v>
      </c>
    </row>
    <row r="255" spans="1:6">
      <c r="A255" t="s">
        <v>254</v>
      </c>
      <c r="B255" t="s">
        <v>565</v>
      </c>
      <c r="C255">
        <f>VLOOKUP(B255,[2]Sheet1!B$1:O$372,7,FALSE)</f>
        <v>92</v>
      </c>
      <c r="D255">
        <f>VLOOKUP(B255,[2]Sheet1!B$1:O$372,10,FALSE)</f>
        <v>29</v>
      </c>
      <c r="E255" t="s">
        <v>620</v>
      </c>
      <c r="F255" t="str">
        <f>VLOOKUP(B255,[2]Sheet1!B$1:O$372,5,FALSE)</f>
        <v>F</v>
      </c>
    </row>
    <row r="256" spans="1:6">
      <c r="A256" t="s">
        <v>255</v>
      </c>
      <c r="B256" t="s">
        <v>566</v>
      </c>
      <c r="C256">
        <f>VLOOKUP(B256,[2]Sheet1!B$1:O$372,7,FALSE)</f>
        <v>74</v>
      </c>
      <c r="D256">
        <f>VLOOKUP(B256,[2]Sheet1!B$1:O$372,10,FALSE)</f>
        <v>29</v>
      </c>
      <c r="E256" t="s">
        <v>620</v>
      </c>
      <c r="F256" t="str">
        <f>VLOOKUP(B256,[2]Sheet1!B$1:O$372,5,FALSE)</f>
        <v>M</v>
      </c>
    </row>
    <row r="257" spans="1:6">
      <c r="A257" t="s">
        <v>256</v>
      </c>
      <c r="B257" t="s">
        <v>567</v>
      </c>
      <c r="C257">
        <f>VLOOKUP(B257,[2]Sheet1!B$1:O$372,7,FALSE)</f>
        <v>82</v>
      </c>
      <c r="D257">
        <f>VLOOKUP(B257,[2]Sheet1!B$1:O$372,10,FALSE)</f>
        <v>29</v>
      </c>
      <c r="E257" t="s">
        <v>620</v>
      </c>
      <c r="F257" t="str">
        <f>VLOOKUP(B257,[2]Sheet1!B$1:O$372,5,FALSE)</f>
        <v>F</v>
      </c>
    </row>
    <row r="258" spans="1:6">
      <c r="A258" t="s">
        <v>257</v>
      </c>
      <c r="B258" t="s">
        <v>568</v>
      </c>
      <c r="C258">
        <f>VLOOKUP(B258,[2]Sheet1!B$1:O$372,7,FALSE)</f>
        <v>65</v>
      </c>
      <c r="D258">
        <f>VLOOKUP(B258,[2]Sheet1!B$1:O$372,10,FALSE)</f>
        <v>29</v>
      </c>
      <c r="E258" t="s">
        <v>620</v>
      </c>
      <c r="F258" t="str">
        <f>VLOOKUP(B258,[2]Sheet1!B$1:O$372,5,FALSE)</f>
        <v>M</v>
      </c>
    </row>
    <row r="259" spans="1:6">
      <c r="A259" t="s">
        <v>258</v>
      </c>
      <c r="B259" t="s">
        <v>569</v>
      </c>
      <c r="C259">
        <f>VLOOKUP(B259,[2]Sheet1!B$1:O$372,7,FALSE)</f>
        <v>71</v>
      </c>
      <c r="D259">
        <f>VLOOKUP(B259,[2]Sheet1!B$1:O$372,10,FALSE)</f>
        <v>28</v>
      </c>
      <c r="E259" t="s">
        <v>620</v>
      </c>
      <c r="F259" t="str">
        <f>VLOOKUP(B259,[2]Sheet1!B$1:O$372,5,FALSE)</f>
        <v>F</v>
      </c>
    </row>
    <row r="260" spans="1:6">
      <c r="A260" t="s">
        <v>259</v>
      </c>
      <c r="B260" t="s">
        <v>570</v>
      </c>
      <c r="C260">
        <f>VLOOKUP(B260,[2]Sheet1!B$1:O$372,7,FALSE)</f>
        <v>81</v>
      </c>
      <c r="D260">
        <f>VLOOKUP(B260,[2]Sheet1!B$1:O$372,10,FALSE)</f>
        <v>30</v>
      </c>
      <c r="E260" t="s">
        <v>620</v>
      </c>
      <c r="F260" t="str">
        <f>VLOOKUP(B260,[2]Sheet1!B$1:O$372,5,FALSE)</f>
        <v>F</v>
      </c>
    </row>
    <row r="261" spans="1:6">
      <c r="A261" t="s">
        <v>260</v>
      </c>
      <c r="B261" t="s">
        <v>571</v>
      </c>
      <c r="C261">
        <f>VLOOKUP(B261,[2]Sheet1!B$1:O$372,7,FALSE)</f>
        <v>68</v>
      </c>
      <c r="D261">
        <f>VLOOKUP(B261,[2]Sheet1!B$1:O$372,10,FALSE)</f>
        <v>30</v>
      </c>
      <c r="E261" t="s">
        <v>620</v>
      </c>
      <c r="F261" t="str">
        <f>VLOOKUP(B261,[2]Sheet1!B$1:O$372,5,FALSE)</f>
        <v>M</v>
      </c>
    </row>
    <row r="262" spans="1:6">
      <c r="A262" t="s">
        <v>261</v>
      </c>
      <c r="B262" t="s">
        <v>572</v>
      </c>
      <c r="C262">
        <f>VLOOKUP(B262,[2]Sheet1!B$1:O$372,7,FALSE)</f>
        <v>79</v>
      </c>
      <c r="D262">
        <f>VLOOKUP(B262,[2]Sheet1!B$1:O$372,10,FALSE)</f>
        <v>29</v>
      </c>
      <c r="E262" t="s">
        <v>620</v>
      </c>
      <c r="F262" t="str">
        <f>VLOOKUP(B262,[2]Sheet1!B$1:O$372,5,FALSE)</f>
        <v>F</v>
      </c>
    </row>
    <row r="263" spans="1:6">
      <c r="A263" t="s">
        <v>262</v>
      </c>
      <c r="B263" t="s">
        <v>573</v>
      </c>
      <c r="C263">
        <f>VLOOKUP(B263,[2]Sheet1!B$1:O$372,7,FALSE)</f>
        <v>67</v>
      </c>
      <c r="D263">
        <f>VLOOKUP(B263,[2]Sheet1!B$1:O$372,10,FALSE)</f>
        <v>30</v>
      </c>
      <c r="E263" t="s">
        <v>620</v>
      </c>
      <c r="F263" t="str">
        <f>VLOOKUP(B263,[2]Sheet1!B$1:O$372,5,FALSE)</f>
        <v>M</v>
      </c>
    </row>
    <row r="264" spans="1:6">
      <c r="A264" t="s">
        <v>263</v>
      </c>
      <c r="B264" t="s">
        <v>574</v>
      </c>
      <c r="C264">
        <f>VLOOKUP(B264,[2]Sheet1!B$1:O$372,7,FALSE)</f>
        <v>88</v>
      </c>
      <c r="D264">
        <f>VLOOKUP(B264,[2]Sheet1!B$1:O$372,10,FALSE)</f>
        <v>30</v>
      </c>
      <c r="E264" t="s">
        <v>620</v>
      </c>
      <c r="F264" t="str">
        <f>VLOOKUP(B264,[2]Sheet1!B$1:O$372,5,FALSE)</f>
        <v>F</v>
      </c>
    </row>
    <row r="265" spans="1:6">
      <c r="A265" t="s">
        <v>264</v>
      </c>
      <c r="B265" t="s">
        <v>575</v>
      </c>
      <c r="C265">
        <f>VLOOKUP(B265,[2]Sheet1!B$1:O$372,7,FALSE)</f>
        <v>81</v>
      </c>
      <c r="D265">
        <f>VLOOKUP(B265,[2]Sheet1!B$1:O$372,10,FALSE)</f>
        <v>29</v>
      </c>
      <c r="E265" t="s">
        <v>620</v>
      </c>
      <c r="F265" t="str">
        <f>VLOOKUP(B265,[2]Sheet1!B$1:O$372,5,FALSE)</f>
        <v>F</v>
      </c>
    </row>
    <row r="266" spans="1:6">
      <c r="A266" t="s">
        <v>265</v>
      </c>
      <c r="B266" t="s">
        <v>576</v>
      </c>
      <c r="C266">
        <f>VLOOKUP(B266,[2]Sheet1!B$1:O$372,7,FALSE)</f>
        <v>80</v>
      </c>
      <c r="D266">
        <f>VLOOKUP(B266,[2]Sheet1!B$1:O$372,10,FALSE)</f>
        <v>28</v>
      </c>
      <c r="E266" t="s">
        <v>620</v>
      </c>
      <c r="F266" t="str">
        <f>VLOOKUP(B266,[2]Sheet1!B$1:O$372,5,FALSE)</f>
        <v>M</v>
      </c>
    </row>
    <row r="267" spans="1:6">
      <c r="A267" t="s">
        <v>266</v>
      </c>
      <c r="B267" t="s">
        <v>577</v>
      </c>
      <c r="C267">
        <f>VLOOKUP(B267,[2]Sheet1!B$1:O$372,7,FALSE)</f>
        <v>70</v>
      </c>
      <c r="D267">
        <f>VLOOKUP(B267,[2]Sheet1!B$1:O$372,10,FALSE)</f>
        <v>29</v>
      </c>
      <c r="E267" t="s">
        <v>620</v>
      </c>
      <c r="F267" t="str">
        <f>VLOOKUP(B267,[2]Sheet1!B$1:O$372,5,FALSE)</f>
        <v>F</v>
      </c>
    </row>
    <row r="268" spans="1:6">
      <c r="A268" t="s">
        <v>267</v>
      </c>
      <c r="B268" t="s">
        <v>578</v>
      </c>
      <c r="C268">
        <f>VLOOKUP(B268,[2]Sheet1!B$1:O$372,7,FALSE)</f>
        <v>66</v>
      </c>
      <c r="D268">
        <f>VLOOKUP(B268,[2]Sheet1!B$1:O$372,10,FALSE)</f>
        <v>30</v>
      </c>
      <c r="E268" t="s">
        <v>620</v>
      </c>
      <c r="F268" t="str">
        <f>VLOOKUP(B268,[2]Sheet1!B$1:O$372,5,FALSE)</f>
        <v>F</v>
      </c>
    </row>
    <row r="269" spans="1:6">
      <c r="A269" t="s">
        <v>268</v>
      </c>
      <c r="B269" t="s">
        <v>579</v>
      </c>
      <c r="C269">
        <f>VLOOKUP(B269,[2]Sheet1!B$1:O$372,7,FALSE)</f>
        <v>69</v>
      </c>
      <c r="D269">
        <f>VLOOKUP(B269,[2]Sheet1!B$1:O$372,10,FALSE)</f>
        <v>28</v>
      </c>
      <c r="E269" t="s">
        <v>620</v>
      </c>
      <c r="F269" t="str">
        <f>VLOOKUP(B269,[2]Sheet1!B$1:O$372,5,FALSE)</f>
        <v>M</v>
      </c>
    </row>
    <row r="270" spans="1:6">
      <c r="A270" t="s">
        <v>269</v>
      </c>
      <c r="B270" t="s">
        <v>580</v>
      </c>
      <c r="C270">
        <f>VLOOKUP(B270,[2]Sheet1!B$1:O$372,7,FALSE)</f>
        <v>89</v>
      </c>
      <c r="D270">
        <f>VLOOKUP(B270,[2]Sheet1!B$1:O$372,10,FALSE)</f>
        <v>28</v>
      </c>
      <c r="E270" t="s">
        <v>620</v>
      </c>
      <c r="F270" t="str">
        <f>VLOOKUP(B270,[2]Sheet1!B$1:O$372,5,FALSE)</f>
        <v>M</v>
      </c>
    </row>
    <row r="271" spans="1:6">
      <c r="A271" t="s">
        <v>270</v>
      </c>
      <c r="B271" t="s">
        <v>581</v>
      </c>
      <c r="C271">
        <f>VLOOKUP(B271,[2]Sheet1!B$1:O$372,7,FALSE)</f>
        <v>78</v>
      </c>
      <c r="D271">
        <f>VLOOKUP(B271,[2]Sheet1!B$1:O$372,10,FALSE)</f>
        <v>29</v>
      </c>
      <c r="E271" t="s">
        <v>620</v>
      </c>
      <c r="F271" t="str">
        <f>VLOOKUP(B271,[2]Sheet1!B$1:O$372,5,FALSE)</f>
        <v>F</v>
      </c>
    </row>
    <row r="272" spans="1:6">
      <c r="A272" t="s">
        <v>271</v>
      </c>
      <c r="B272" t="s">
        <v>582</v>
      </c>
      <c r="C272">
        <f>VLOOKUP(B272,[2]Sheet1!B$1:O$372,7,FALSE)</f>
        <v>63</v>
      </c>
      <c r="D272">
        <f>VLOOKUP(B272,[2]Sheet1!B$1:O$372,10,FALSE)</f>
        <v>28</v>
      </c>
      <c r="E272" t="s">
        <v>620</v>
      </c>
      <c r="F272" t="str">
        <f>VLOOKUP(B272,[2]Sheet1!B$1:O$372,5,FALSE)</f>
        <v>F</v>
      </c>
    </row>
    <row r="273" spans="1:6">
      <c r="A273" t="s">
        <v>272</v>
      </c>
      <c r="B273" t="s">
        <v>583</v>
      </c>
      <c r="C273">
        <f>VLOOKUP(B273,[2]Sheet1!B$1:O$372,7,FALSE)</f>
        <v>73</v>
      </c>
      <c r="D273">
        <f>VLOOKUP(B273,[2]Sheet1!B$1:O$372,10,FALSE)</f>
        <v>29</v>
      </c>
      <c r="E273" t="s">
        <v>620</v>
      </c>
      <c r="F273" t="str">
        <f>VLOOKUP(B273,[2]Sheet1!B$1:O$372,5,FALSE)</f>
        <v>M</v>
      </c>
    </row>
    <row r="274" spans="1:6">
      <c r="A274" t="s">
        <v>273</v>
      </c>
      <c r="B274" t="s">
        <v>584</v>
      </c>
      <c r="C274">
        <f>VLOOKUP(B274,[2]Sheet1!B$1:O$372,7,FALSE)</f>
        <v>75</v>
      </c>
      <c r="D274">
        <f>VLOOKUP(B274,[2]Sheet1!B$1:O$372,10,FALSE)</f>
        <v>28</v>
      </c>
      <c r="E274" t="s">
        <v>620</v>
      </c>
      <c r="F274" t="str">
        <f>VLOOKUP(B274,[2]Sheet1!B$1:O$372,5,FALSE)</f>
        <v>M</v>
      </c>
    </row>
    <row r="275" spans="1:6">
      <c r="A275" t="s">
        <v>274</v>
      </c>
      <c r="B275" t="s">
        <v>585</v>
      </c>
      <c r="C275">
        <f>VLOOKUP(B275,[2]Sheet1!B$1:O$372,7,FALSE)</f>
        <v>61</v>
      </c>
      <c r="D275">
        <f>VLOOKUP(B275,[2]Sheet1!B$1:O$372,10,FALSE)</f>
        <v>30</v>
      </c>
      <c r="E275" t="s">
        <v>620</v>
      </c>
      <c r="F275" t="str">
        <f>VLOOKUP(B275,[2]Sheet1!B$1:O$372,5,FALSE)</f>
        <v>F</v>
      </c>
    </row>
    <row r="276" spans="1:6">
      <c r="A276" t="s">
        <v>275</v>
      </c>
      <c r="B276" t="s">
        <v>586</v>
      </c>
      <c r="C276">
        <f>VLOOKUP(B276,[2]Sheet1!B$1:O$372,7,FALSE)</f>
        <v>71</v>
      </c>
      <c r="D276">
        <f>VLOOKUP(B276,[2]Sheet1!B$1:O$372,10,FALSE)</f>
        <v>30</v>
      </c>
      <c r="E276" t="s">
        <v>620</v>
      </c>
      <c r="F276" t="str">
        <f>VLOOKUP(B276,[2]Sheet1!B$1:O$372,5,FALSE)</f>
        <v>M</v>
      </c>
    </row>
    <row r="277" spans="1:6">
      <c r="A277" t="s">
        <v>276</v>
      </c>
      <c r="B277" t="s">
        <v>587</v>
      </c>
      <c r="C277">
        <f>VLOOKUP(B277,[2]Sheet1!B$1:O$372,7,FALSE)</f>
        <v>89</v>
      </c>
      <c r="D277">
        <f>VLOOKUP(B277,[2]Sheet1!B$1:O$372,10,FALSE)</f>
        <v>29</v>
      </c>
      <c r="E277" t="s">
        <v>620</v>
      </c>
      <c r="F277" t="str">
        <f>VLOOKUP(B277,[2]Sheet1!B$1:O$372,5,FALSE)</f>
        <v>F</v>
      </c>
    </row>
    <row r="278" spans="1:6">
      <c r="A278" t="s">
        <v>277</v>
      </c>
      <c r="B278" t="s">
        <v>588</v>
      </c>
      <c r="C278">
        <f>VLOOKUP(B278,[2]Sheet1!B$1:O$372,7,FALSE)</f>
        <v>74</v>
      </c>
      <c r="D278">
        <f>VLOOKUP(B278,[2]Sheet1!B$1:O$372,10,FALSE)</f>
        <v>30</v>
      </c>
      <c r="E278" t="s">
        <v>620</v>
      </c>
      <c r="F278" t="str">
        <f>VLOOKUP(B278,[2]Sheet1!B$1:O$372,5,FALSE)</f>
        <v>M</v>
      </c>
    </row>
    <row r="279" spans="1:6">
      <c r="A279" t="s">
        <v>278</v>
      </c>
      <c r="B279" t="s">
        <v>589</v>
      </c>
      <c r="C279">
        <f>VLOOKUP(B279,[2]Sheet1!B$1:O$372,7,FALSE)</f>
        <v>77</v>
      </c>
      <c r="D279">
        <f>VLOOKUP(B279,[2]Sheet1!B$1:O$372,10,FALSE)</f>
        <v>29</v>
      </c>
      <c r="E279" t="s">
        <v>620</v>
      </c>
      <c r="F279" t="str">
        <f>VLOOKUP(B279,[2]Sheet1!B$1:O$372,5,FALSE)</f>
        <v>F</v>
      </c>
    </row>
    <row r="280" spans="1:6">
      <c r="A280" t="s">
        <v>279</v>
      </c>
      <c r="B280" t="s">
        <v>590</v>
      </c>
      <c r="C280">
        <f>VLOOKUP(B280,[2]Sheet1!B$1:O$372,7,FALSE)</f>
        <v>71</v>
      </c>
      <c r="D280">
        <f>VLOOKUP(B280,[2]Sheet1!B$1:O$372,10,FALSE)</f>
        <v>30</v>
      </c>
      <c r="E280" t="s">
        <v>620</v>
      </c>
      <c r="F280" t="str">
        <f>VLOOKUP(B280,[2]Sheet1!B$1:O$372,5,FALSE)</f>
        <v>F</v>
      </c>
    </row>
    <row r="281" spans="1:6">
      <c r="A281" t="s">
        <v>280</v>
      </c>
      <c r="B281" t="s">
        <v>591</v>
      </c>
      <c r="C281">
        <f>VLOOKUP(B281,[2]Sheet1!B$1:O$372,7,FALSE)</f>
        <v>86</v>
      </c>
      <c r="D281">
        <f>VLOOKUP(B281,[2]Sheet1!B$1:O$372,10,FALSE)</f>
        <v>29</v>
      </c>
      <c r="E281" t="s">
        <v>620</v>
      </c>
      <c r="F281" t="str">
        <f>VLOOKUP(B281,[2]Sheet1!B$1:O$372,5,FALSE)</f>
        <v>M</v>
      </c>
    </row>
    <row r="282" spans="1:6">
      <c r="A282" t="s">
        <v>281</v>
      </c>
      <c r="B282" t="s">
        <v>592</v>
      </c>
      <c r="C282">
        <f>VLOOKUP(B282,[2]Sheet1!B$1:O$372,7,FALSE)</f>
        <v>83</v>
      </c>
      <c r="D282">
        <f>VLOOKUP(B282,[2]Sheet1!B$1:O$372,10,FALSE)</f>
        <v>29</v>
      </c>
      <c r="E282" t="s">
        <v>620</v>
      </c>
      <c r="F282" t="str">
        <f>VLOOKUP(B282,[2]Sheet1!B$1:O$372,5,FALSE)</f>
        <v>M</v>
      </c>
    </row>
    <row r="283" spans="1:6">
      <c r="A283" t="s">
        <v>282</v>
      </c>
      <c r="B283" t="s">
        <v>593</v>
      </c>
      <c r="C283">
        <f>VLOOKUP(B283,[2]Sheet1!B$1:O$372,7,FALSE)</f>
        <v>73</v>
      </c>
      <c r="D283">
        <f>VLOOKUP(B283,[2]Sheet1!B$1:O$372,10,FALSE)</f>
        <v>30</v>
      </c>
      <c r="E283" t="s">
        <v>620</v>
      </c>
      <c r="F283" t="str">
        <f>VLOOKUP(B283,[2]Sheet1!B$1:O$372,5,FALSE)</f>
        <v>M</v>
      </c>
    </row>
    <row r="284" spans="1:6">
      <c r="A284" t="s">
        <v>283</v>
      </c>
      <c r="B284" t="s">
        <v>594</v>
      </c>
      <c r="C284">
        <f>VLOOKUP(B284,[2]Sheet1!B$1:O$372,7,FALSE)</f>
        <v>81</v>
      </c>
      <c r="D284">
        <f>VLOOKUP(B284,[2]Sheet1!B$1:O$372,10,FALSE)</f>
        <v>28</v>
      </c>
      <c r="E284" t="s">
        <v>620</v>
      </c>
      <c r="F284" t="str">
        <f>VLOOKUP(B284,[2]Sheet1!B$1:O$372,5,FALSE)</f>
        <v>F</v>
      </c>
    </row>
    <row r="285" spans="1:6">
      <c r="A285" t="s">
        <v>284</v>
      </c>
      <c r="B285" t="s">
        <v>595</v>
      </c>
      <c r="C285">
        <f>VLOOKUP(B285,[2]Sheet1!B$1:O$372,7,FALSE)</f>
        <v>73</v>
      </c>
      <c r="D285">
        <f>VLOOKUP(B285,[2]Sheet1!B$1:O$372,10,FALSE)</f>
        <v>30</v>
      </c>
      <c r="E285" t="s">
        <v>620</v>
      </c>
      <c r="F285" t="str">
        <f>VLOOKUP(B285,[2]Sheet1!B$1:O$372,5,FALSE)</f>
        <v>F</v>
      </c>
    </row>
    <row r="286" spans="1:6">
      <c r="A286" t="s">
        <v>285</v>
      </c>
      <c r="B286" t="s">
        <v>596</v>
      </c>
      <c r="C286">
        <f>VLOOKUP(B286,[2]Sheet1!B$1:O$372,7,FALSE)</f>
        <v>86</v>
      </c>
      <c r="D286">
        <f>VLOOKUP(B286,[2]Sheet1!B$1:O$372,10,FALSE)</f>
        <v>30</v>
      </c>
      <c r="E286" t="s">
        <v>620</v>
      </c>
      <c r="F286" t="str">
        <f>VLOOKUP(B286,[2]Sheet1!B$1:O$372,5,FALSE)</f>
        <v>F</v>
      </c>
    </row>
    <row r="287" spans="1:6">
      <c r="A287" t="s">
        <v>286</v>
      </c>
      <c r="B287" t="s">
        <v>597</v>
      </c>
      <c r="C287">
        <f>VLOOKUP(B287,[2]Sheet1!B$1:O$372,7,FALSE)</f>
        <v>74</v>
      </c>
      <c r="D287">
        <f>VLOOKUP(B287,[2]Sheet1!B$1:O$372,10,FALSE)</f>
        <v>29</v>
      </c>
      <c r="E287" t="s">
        <v>620</v>
      </c>
      <c r="F287" t="str">
        <f>VLOOKUP(B287,[2]Sheet1!B$1:O$372,5,FALSE)</f>
        <v>F</v>
      </c>
    </row>
    <row r="288" spans="1:6">
      <c r="A288" t="s">
        <v>287</v>
      </c>
      <c r="B288" t="s">
        <v>598</v>
      </c>
      <c r="C288">
        <f>VLOOKUP(B288,[2]Sheet1!B$1:O$372,7,FALSE)</f>
        <v>76</v>
      </c>
      <c r="D288">
        <f>VLOOKUP(B288,[2]Sheet1!B$1:O$372,10,FALSE)</f>
        <v>28</v>
      </c>
      <c r="E288" t="s">
        <v>620</v>
      </c>
      <c r="F288" t="str">
        <f>VLOOKUP(B288,[2]Sheet1!B$1:O$372,5,FALSE)</f>
        <v>F</v>
      </c>
    </row>
    <row r="289" spans="1:6">
      <c r="A289" t="s">
        <v>288</v>
      </c>
      <c r="B289" t="s">
        <v>599</v>
      </c>
      <c r="C289">
        <f>VLOOKUP(B289,[2]Sheet1!B$1:O$372,7,FALSE)</f>
        <v>78</v>
      </c>
      <c r="D289">
        <f>VLOOKUP(B289,[2]Sheet1!B$1:O$372,10,FALSE)</f>
        <v>30</v>
      </c>
      <c r="E289" t="s">
        <v>620</v>
      </c>
      <c r="F289" t="str">
        <f>VLOOKUP(B289,[2]Sheet1!B$1:O$372,5,FALSE)</f>
        <v>F</v>
      </c>
    </row>
    <row r="290" spans="1:6">
      <c r="A290" t="s">
        <v>289</v>
      </c>
      <c r="B290" t="s">
        <v>600</v>
      </c>
      <c r="C290">
        <f>VLOOKUP(B290,[2]Sheet1!B$1:O$372,7,FALSE)</f>
        <v>74</v>
      </c>
      <c r="D290">
        <f>VLOOKUP(B290,[2]Sheet1!B$1:O$372,10,FALSE)</f>
        <v>30</v>
      </c>
      <c r="E290" t="s">
        <v>620</v>
      </c>
      <c r="F290" t="str">
        <f>VLOOKUP(B290,[2]Sheet1!B$1:O$372,5,FALSE)</f>
        <v>M</v>
      </c>
    </row>
    <row r="291" spans="1:6">
      <c r="A291" t="s">
        <v>290</v>
      </c>
      <c r="B291" t="s">
        <v>601</v>
      </c>
      <c r="C291">
        <f>VLOOKUP(B291,[2]Sheet1!B$1:O$372,7,FALSE)</f>
        <v>73</v>
      </c>
      <c r="D291">
        <f>VLOOKUP(B291,[2]Sheet1!B$1:O$372,10,FALSE)</f>
        <v>29</v>
      </c>
      <c r="E291" t="s">
        <v>620</v>
      </c>
      <c r="F291" t="str">
        <f>VLOOKUP(B291,[2]Sheet1!B$1:O$372,5,FALSE)</f>
        <v>F</v>
      </c>
    </row>
    <row r="292" spans="1:6">
      <c r="A292" t="s">
        <v>291</v>
      </c>
      <c r="B292" t="s">
        <v>602</v>
      </c>
      <c r="C292">
        <f>VLOOKUP(B292,[2]Sheet1!B$1:O$372,7,FALSE)</f>
        <v>65</v>
      </c>
      <c r="D292">
        <f>VLOOKUP(B292,[2]Sheet1!B$1:O$372,10,FALSE)</f>
        <v>30</v>
      </c>
      <c r="E292" t="s">
        <v>620</v>
      </c>
      <c r="F292" t="str">
        <f>VLOOKUP(B292,[2]Sheet1!B$1:O$372,5,FALSE)</f>
        <v>F</v>
      </c>
    </row>
    <row r="293" spans="1:6">
      <c r="A293" t="s">
        <v>292</v>
      </c>
      <c r="B293" t="s">
        <v>603</v>
      </c>
      <c r="C293">
        <f>VLOOKUP(B293,[2]Sheet1!B$1:O$372,7,FALSE)</f>
        <v>69</v>
      </c>
      <c r="D293">
        <f>VLOOKUP(B293,[2]Sheet1!B$1:O$372,10,FALSE)</f>
        <v>29</v>
      </c>
      <c r="E293" t="s">
        <v>620</v>
      </c>
      <c r="F293" t="str">
        <f>VLOOKUP(B293,[2]Sheet1!B$1:O$372,5,FALSE)</f>
        <v>F</v>
      </c>
    </row>
    <row r="294" spans="1:6">
      <c r="A294" t="s">
        <v>293</v>
      </c>
      <c r="B294" t="s">
        <v>604</v>
      </c>
      <c r="C294">
        <f>VLOOKUP(B294,[2]Sheet1!B$1:O$372,7,FALSE)</f>
        <v>89</v>
      </c>
      <c r="D294">
        <f>VLOOKUP(B294,[2]Sheet1!B$1:O$372,10,FALSE)</f>
        <v>30</v>
      </c>
      <c r="E294" t="s">
        <v>620</v>
      </c>
      <c r="F294" t="str">
        <f>VLOOKUP(B294,[2]Sheet1!B$1:O$372,5,FALSE)</f>
        <v>F</v>
      </c>
    </row>
    <row r="295" spans="1:6">
      <c r="A295" t="s">
        <v>294</v>
      </c>
      <c r="B295" t="s">
        <v>605</v>
      </c>
      <c r="C295">
        <f>VLOOKUP(B295,[2]Sheet1!B$1:O$372,7,FALSE)</f>
        <v>77</v>
      </c>
      <c r="D295">
        <f>VLOOKUP(B295,[2]Sheet1!B$1:O$372,10,FALSE)</f>
        <v>29</v>
      </c>
      <c r="E295" t="s">
        <v>620</v>
      </c>
      <c r="F295" t="str">
        <f>VLOOKUP(B295,[2]Sheet1!B$1:O$372,5,FALSE)</f>
        <v>F</v>
      </c>
    </row>
    <row r="296" spans="1:6">
      <c r="A296" t="s">
        <v>295</v>
      </c>
      <c r="B296" t="s">
        <v>606</v>
      </c>
      <c r="C296">
        <f>VLOOKUP(B296,[2]Sheet1!B$1:O$372,7,FALSE)</f>
        <v>81</v>
      </c>
      <c r="D296">
        <f>VLOOKUP(B296,[2]Sheet1!B$1:O$372,10,FALSE)</f>
        <v>29</v>
      </c>
      <c r="E296" t="s">
        <v>620</v>
      </c>
      <c r="F296" t="str">
        <f>VLOOKUP(B296,[2]Sheet1!B$1:O$372,5,FALSE)</f>
        <v>F</v>
      </c>
    </row>
    <row r="297" spans="1:6">
      <c r="A297" t="s">
        <v>296</v>
      </c>
      <c r="B297" t="s">
        <v>607</v>
      </c>
      <c r="C297">
        <f>VLOOKUP(B297,[2]Sheet1!B$1:O$372,7,FALSE)</f>
        <v>66</v>
      </c>
      <c r="D297">
        <f>VLOOKUP(B297,[2]Sheet1!B$1:O$372,10,FALSE)</f>
        <v>29</v>
      </c>
      <c r="E297" t="s">
        <v>620</v>
      </c>
      <c r="F297" t="str">
        <f>VLOOKUP(B297,[2]Sheet1!B$1:O$372,5,FALSE)</f>
        <v>F</v>
      </c>
    </row>
    <row r="298" spans="1:6">
      <c r="A298" t="s">
        <v>297</v>
      </c>
      <c r="B298" t="s">
        <v>608</v>
      </c>
      <c r="C298">
        <f>VLOOKUP(B298,[2]Sheet1!B$1:O$372,7,FALSE)</f>
        <v>75</v>
      </c>
      <c r="D298">
        <f>VLOOKUP(B298,[2]Sheet1!B$1:O$372,10,FALSE)</f>
        <v>29</v>
      </c>
      <c r="E298" t="s">
        <v>620</v>
      </c>
      <c r="F298" t="str">
        <f>VLOOKUP(B298,[2]Sheet1!B$1:O$372,5,FALSE)</f>
        <v>F</v>
      </c>
    </row>
    <row r="299" spans="1:6">
      <c r="A299" t="s">
        <v>298</v>
      </c>
      <c r="B299" t="s">
        <v>609</v>
      </c>
      <c r="C299">
        <f>VLOOKUP(B299,[2]Sheet1!B$1:O$372,7,FALSE)</f>
        <v>78</v>
      </c>
      <c r="D299">
        <f>VLOOKUP(B299,[2]Sheet1!B$1:O$372,10,FALSE)</f>
        <v>30</v>
      </c>
      <c r="E299" t="s">
        <v>620</v>
      </c>
      <c r="F299" t="str">
        <f>VLOOKUP(B299,[2]Sheet1!B$1:O$372,5,FALSE)</f>
        <v>F</v>
      </c>
    </row>
    <row r="300" spans="1:6">
      <c r="A300" t="s">
        <v>299</v>
      </c>
      <c r="B300" t="s">
        <v>610</v>
      </c>
      <c r="C300">
        <f>VLOOKUP(B300,[2]Sheet1!B$1:O$372,7,FALSE)</f>
        <v>73</v>
      </c>
      <c r="D300">
        <f>VLOOKUP(B300,[2]Sheet1!B$1:O$372,10,FALSE)</f>
        <v>29</v>
      </c>
      <c r="E300" t="s">
        <v>620</v>
      </c>
      <c r="F300" t="str">
        <f>VLOOKUP(B300,[2]Sheet1!B$1:O$372,5,FALSE)</f>
        <v>F</v>
      </c>
    </row>
    <row r="301" spans="1:6">
      <c r="A301" t="s">
        <v>300</v>
      </c>
      <c r="B301" t="s">
        <v>611</v>
      </c>
      <c r="C301">
        <f>VLOOKUP(B301,[2]Sheet1!B$1:O$372,7,FALSE)</f>
        <v>77</v>
      </c>
      <c r="D301">
        <f>VLOOKUP(B301,[2]Sheet1!B$1:O$372,10,FALSE)</f>
        <v>29</v>
      </c>
      <c r="E301" t="s">
        <v>620</v>
      </c>
      <c r="F301" t="str">
        <f>VLOOKUP(B301,[2]Sheet1!B$1:O$372,5,FALSE)</f>
        <v>M</v>
      </c>
    </row>
    <row r="302" spans="1:6">
      <c r="A302" t="s">
        <v>301</v>
      </c>
      <c r="B302" t="s">
        <v>612</v>
      </c>
      <c r="C302">
        <f>VLOOKUP(B302,[2]Sheet1!B$1:O$372,7,FALSE)</f>
        <v>71</v>
      </c>
      <c r="D302">
        <f>VLOOKUP(B302,[2]Sheet1!B$1:O$372,10,FALSE)</f>
        <v>30</v>
      </c>
      <c r="E302" t="s">
        <v>620</v>
      </c>
      <c r="F302" t="str">
        <f>VLOOKUP(B302,[2]Sheet1!B$1:O$372,5,FALSE)</f>
        <v>F</v>
      </c>
    </row>
    <row r="303" spans="1:6">
      <c r="A303" t="s">
        <v>302</v>
      </c>
      <c r="B303" t="s">
        <v>613</v>
      </c>
      <c r="C303">
        <f>VLOOKUP(B303,[2]Sheet1!B$1:O$372,7,FALSE)</f>
        <v>76</v>
      </c>
      <c r="D303">
        <f>VLOOKUP(B303,[2]Sheet1!B$1:O$372,10,FALSE)</f>
        <v>30</v>
      </c>
      <c r="E303" t="s">
        <v>620</v>
      </c>
      <c r="F303" t="str">
        <f>VLOOKUP(B303,[2]Sheet1!B$1:O$372,5,FALSE)</f>
        <v>M</v>
      </c>
    </row>
    <row r="304" spans="1:6">
      <c r="A304" t="s">
        <v>303</v>
      </c>
      <c r="B304" t="s">
        <v>614</v>
      </c>
      <c r="C304">
        <f>VLOOKUP(B304,[2]Sheet1!B$1:O$372,7,FALSE)</f>
        <v>60</v>
      </c>
      <c r="D304">
        <f>VLOOKUP(B304,[2]Sheet1!B$1:O$372,10,FALSE)</f>
        <v>30</v>
      </c>
      <c r="E304" t="s">
        <v>620</v>
      </c>
      <c r="F304" t="str">
        <f>VLOOKUP(B304,[2]Sheet1!B$1:O$372,5,FALSE)</f>
        <v>M</v>
      </c>
    </row>
    <row r="305" spans="1:6">
      <c r="A305" t="s">
        <v>304</v>
      </c>
      <c r="B305" t="s">
        <v>615</v>
      </c>
      <c r="C305">
        <f>VLOOKUP(B305,[2]Sheet1!B$1:O$372,7,FALSE)</f>
        <v>68</v>
      </c>
      <c r="D305">
        <f>VLOOKUP(B305,[2]Sheet1!B$1:O$372,10,FALSE)</f>
        <v>26</v>
      </c>
      <c r="E305" t="s">
        <v>620</v>
      </c>
      <c r="F305" t="str">
        <f>VLOOKUP(B305,[2]Sheet1!B$1:O$372,5,FALSE)</f>
        <v>M</v>
      </c>
    </row>
    <row r="306" spans="1:6">
      <c r="A306" t="s">
        <v>305</v>
      </c>
      <c r="B306" t="s">
        <v>616</v>
      </c>
      <c r="C306">
        <f>VLOOKUP(B306,[2]Sheet1!B$1:O$372,7,FALSE)</f>
        <v>89</v>
      </c>
      <c r="D306">
        <f>VLOOKUP(B306,[2]Sheet1!B$1:O$372,10,FALSE)</f>
        <v>29</v>
      </c>
      <c r="E306" t="s">
        <v>620</v>
      </c>
      <c r="F306" t="str">
        <f>VLOOKUP(B306,[2]Sheet1!B$1:O$372,5,FALSE)</f>
        <v>F</v>
      </c>
    </row>
    <row r="307" spans="1:6">
      <c r="A307" t="s">
        <v>306</v>
      </c>
      <c r="B307" t="s">
        <v>617</v>
      </c>
      <c r="C307">
        <f>VLOOKUP(B307,[2]Sheet1!B$1:O$372,7,FALSE)</f>
        <v>66</v>
      </c>
      <c r="D307">
        <f>VLOOKUP(B307,[2]Sheet1!B$1:O$372,10,FALSE)</f>
        <v>30</v>
      </c>
      <c r="E307" t="s">
        <v>620</v>
      </c>
      <c r="F307" t="str">
        <f>VLOOKUP(B307,[2]Sheet1!B$1:O$372,5,FALSE)</f>
        <v>F</v>
      </c>
    </row>
    <row r="308" spans="1:6">
      <c r="A308" t="s">
        <v>307</v>
      </c>
      <c r="B308" t="s">
        <v>618</v>
      </c>
      <c r="C308">
        <f>VLOOKUP(B308,[2]Sheet1!B$1:O$372,7,FALSE)</f>
        <v>61</v>
      </c>
      <c r="D308">
        <f>VLOOKUP(B308,[2]Sheet1!B$1:O$372,10,FALSE)</f>
        <v>30</v>
      </c>
      <c r="E308" t="s">
        <v>620</v>
      </c>
      <c r="F308" t="str">
        <f>VLOOKUP(B308,[2]Sheet1!B$1:O$372,5,FALSE)</f>
        <v>F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user01</cp:lastModifiedBy>
  <dcterms:created xsi:type="dcterms:W3CDTF">2024-04-15T04:50:56Z</dcterms:created>
  <dcterms:modified xsi:type="dcterms:W3CDTF">2024-04-15T05:07:12Z</dcterms:modified>
</cp:coreProperties>
</file>